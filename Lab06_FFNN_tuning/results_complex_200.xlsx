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GA\Documents\School\VUT\ING_studium\8_semestr\MLF\CP\wsl_env\Garncarz_MPA_MLF\Lab06_FFNN_tuning\"/>
    </mc:Choice>
  </mc:AlternateContent>
  <xr:revisionPtr revIDLastSave="0" documentId="13_ncr:1_{0C7DF409-8D75-4C6E-9583-DCDDB7D2731E}" xr6:coauthVersionLast="47" xr6:coauthVersionMax="47" xr10:uidLastSave="{00000000-0000-0000-0000-000000000000}"/>
  <bookViews>
    <workbookView xWindow="-108" yWindow="-108" windowWidth="23256" windowHeight="12456" xr2:uid="{9D9479E3-8BDC-4C4C-B128-E903D92D8BBA}"/>
  </bookViews>
  <sheets>
    <sheet name="results_complex_2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</calcChain>
</file>

<file path=xl/sharedStrings.xml><?xml version="1.0" encoding="utf-8"?>
<sst xmlns="http://schemas.openxmlformats.org/spreadsheetml/2006/main" count="507" uniqueCount="19">
  <si>
    <t>Trial</t>
  </si>
  <si>
    <t>Optimizer</t>
  </si>
  <si>
    <t>Layers</t>
  </si>
  <si>
    <t>Activation</t>
  </si>
  <si>
    <t>Initial neurons</t>
  </si>
  <si>
    <t>Learning Rate</t>
  </si>
  <si>
    <t>Batch Size</t>
  </si>
  <si>
    <t>L2 Penalty</t>
  </si>
  <si>
    <t>Dropout Rate</t>
  </si>
  <si>
    <t>Compression Factor</t>
  </si>
  <si>
    <t>Time</t>
  </si>
  <si>
    <t>Val Accuracy</t>
  </si>
  <si>
    <t>Adam</t>
  </si>
  <si>
    <t>elu</t>
  </si>
  <si>
    <t>tanh</t>
  </si>
  <si>
    <t>gelu</t>
  </si>
  <si>
    <t>relu</t>
  </si>
  <si>
    <t>selu</t>
  </si>
  <si>
    <t>Total neurons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</si>
</sst>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 Accuracy</a:t>
            </a:r>
            <a:r>
              <a:rPr lang="cs-CZ"/>
              <a:t> vs initial neurons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results_complex_200!$M$1</c:f>
              <c:strCache>
                <c:ptCount val="1"/>
                <c:pt idx="0">
                  <c:v>Val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results_complex_200!$E$2:$E$248</c:f>
              <c:numCache>
                <c:formatCode>General</c:formatCode>
                <c:ptCount val="247"/>
                <c:pt idx="0">
                  <c:v>1381</c:v>
                </c:pt>
                <c:pt idx="1">
                  <c:v>2743</c:v>
                </c:pt>
                <c:pt idx="2">
                  <c:v>1287</c:v>
                </c:pt>
                <c:pt idx="3">
                  <c:v>954</c:v>
                </c:pt>
                <c:pt idx="4">
                  <c:v>797</c:v>
                </c:pt>
                <c:pt idx="5">
                  <c:v>1030</c:v>
                </c:pt>
                <c:pt idx="6">
                  <c:v>387</c:v>
                </c:pt>
                <c:pt idx="7">
                  <c:v>1293</c:v>
                </c:pt>
                <c:pt idx="8">
                  <c:v>524</c:v>
                </c:pt>
                <c:pt idx="9">
                  <c:v>2007</c:v>
                </c:pt>
                <c:pt idx="10">
                  <c:v>1630</c:v>
                </c:pt>
                <c:pt idx="11">
                  <c:v>2400</c:v>
                </c:pt>
                <c:pt idx="12">
                  <c:v>3020</c:v>
                </c:pt>
                <c:pt idx="13">
                  <c:v>1784</c:v>
                </c:pt>
                <c:pt idx="14">
                  <c:v>557</c:v>
                </c:pt>
                <c:pt idx="15">
                  <c:v>601</c:v>
                </c:pt>
                <c:pt idx="16">
                  <c:v>1575</c:v>
                </c:pt>
                <c:pt idx="17">
                  <c:v>3689</c:v>
                </c:pt>
                <c:pt idx="18">
                  <c:v>3907</c:v>
                </c:pt>
                <c:pt idx="19">
                  <c:v>3659</c:v>
                </c:pt>
                <c:pt idx="20">
                  <c:v>317</c:v>
                </c:pt>
                <c:pt idx="21">
                  <c:v>366</c:v>
                </c:pt>
                <c:pt idx="22">
                  <c:v>3917</c:v>
                </c:pt>
                <c:pt idx="23">
                  <c:v>3419</c:v>
                </c:pt>
                <c:pt idx="24">
                  <c:v>4077</c:v>
                </c:pt>
                <c:pt idx="25">
                  <c:v>908</c:v>
                </c:pt>
                <c:pt idx="26">
                  <c:v>2018</c:v>
                </c:pt>
                <c:pt idx="27">
                  <c:v>1109</c:v>
                </c:pt>
                <c:pt idx="28">
                  <c:v>643</c:v>
                </c:pt>
                <c:pt idx="29">
                  <c:v>2564</c:v>
                </c:pt>
                <c:pt idx="30">
                  <c:v>879</c:v>
                </c:pt>
                <c:pt idx="31">
                  <c:v>1127</c:v>
                </c:pt>
                <c:pt idx="32">
                  <c:v>1626</c:v>
                </c:pt>
                <c:pt idx="33">
                  <c:v>1474</c:v>
                </c:pt>
                <c:pt idx="34">
                  <c:v>521</c:v>
                </c:pt>
                <c:pt idx="35">
                  <c:v>356</c:v>
                </c:pt>
                <c:pt idx="36">
                  <c:v>805</c:v>
                </c:pt>
                <c:pt idx="37">
                  <c:v>379</c:v>
                </c:pt>
                <c:pt idx="38">
                  <c:v>670</c:v>
                </c:pt>
                <c:pt idx="39">
                  <c:v>2122</c:v>
                </c:pt>
                <c:pt idx="40">
                  <c:v>3070</c:v>
                </c:pt>
                <c:pt idx="41">
                  <c:v>827</c:v>
                </c:pt>
                <c:pt idx="42">
                  <c:v>582</c:v>
                </c:pt>
                <c:pt idx="43">
                  <c:v>1050</c:v>
                </c:pt>
                <c:pt idx="44">
                  <c:v>361</c:v>
                </c:pt>
                <c:pt idx="45">
                  <c:v>2684</c:v>
                </c:pt>
                <c:pt idx="46">
                  <c:v>669</c:v>
                </c:pt>
                <c:pt idx="47">
                  <c:v>1117</c:v>
                </c:pt>
                <c:pt idx="48">
                  <c:v>1266</c:v>
                </c:pt>
                <c:pt idx="49">
                  <c:v>410</c:v>
                </c:pt>
                <c:pt idx="50">
                  <c:v>548</c:v>
                </c:pt>
                <c:pt idx="51">
                  <c:v>2654</c:v>
                </c:pt>
                <c:pt idx="52">
                  <c:v>1851</c:v>
                </c:pt>
                <c:pt idx="53">
                  <c:v>794</c:v>
                </c:pt>
                <c:pt idx="54">
                  <c:v>2144</c:v>
                </c:pt>
                <c:pt idx="55">
                  <c:v>800</c:v>
                </c:pt>
                <c:pt idx="56">
                  <c:v>3521</c:v>
                </c:pt>
                <c:pt idx="57">
                  <c:v>566</c:v>
                </c:pt>
                <c:pt idx="58">
                  <c:v>2655</c:v>
                </c:pt>
                <c:pt idx="59">
                  <c:v>521</c:v>
                </c:pt>
                <c:pt idx="60">
                  <c:v>2139</c:v>
                </c:pt>
                <c:pt idx="61">
                  <c:v>2212</c:v>
                </c:pt>
                <c:pt idx="62">
                  <c:v>812</c:v>
                </c:pt>
                <c:pt idx="63">
                  <c:v>323</c:v>
                </c:pt>
                <c:pt idx="64">
                  <c:v>2587</c:v>
                </c:pt>
                <c:pt idx="65">
                  <c:v>861</c:v>
                </c:pt>
                <c:pt idx="66">
                  <c:v>815</c:v>
                </c:pt>
                <c:pt idx="67">
                  <c:v>3089</c:v>
                </c:pt>
                <c:pt idx="68">
                  <c:v>1141</c:v>
                </c:pt>
                <c:pt idx="69">
                  <c:v>352</c:v>
                </c:pt>
                <c:pt idx="70">
                  <c:v>337</c:v>
                </c:pt>
                <c:pt idx="71">
                  <c:v>1424</c:v>
                </c:pt>
                <c:pt idx="72">
                  <c:v>3508</c:v>
                </c:pt>
                <c:pt idx="73">
                  <c:v>1380</c:v>
                </c:pt>
                <c:pt idx="74">
                  <c:v>1566</c:v>
                </c:pt>
                <c:pt idx="75">
                  <c:v>1396</c:v>
                </c:pt>
                <c:pt idx="76">
                  <c:v>410</c:v>
                </c:pt>
                <c:pt idx="77">
                  <c:v>383</c:v>
                </c:pt>
                <c:pt idx="78">
                  <c:v>1005</c:v>
                </c:pt>
                <c:pt idx="79">
                  <c:v>1593</c:v>
                </c:pt>
                <c:pt idx="80">
                  <c:v>1530</c:v>
                </c:pt>
                <c:pt idx="81">
                  <c:v>3797</c:v>
                </c:pt>
                <c:pt idx="82">
                  <c:v>3384</c:v>
                </c:pt>
                <c:pt idx="83">
                  <c:v>3956</c:v>
                </c:pt>
                <c:pt idx="84">
                  <c:v>899</c:v>
                </c:pt>
                <c:pt idx="85">
                  <c:v>613</c:v>
                </c:pt>
                <c:pt idx="86">
                  <c:v>467</c:v>
                </c:pt>
                <c:pt idx="87">
                  <c:v>679</c:v>
                </c:pt>
                <c:pt idx="88">
                  <c:v>1806</c:v>
                </c:pt>
                <c:pt idx="89">
                  <c:v>4050</c:v>
                </c:pt>
                <c:pt idx="90">
                  <c:v>519</c:v>
                </c:pt>
                <c:pt idx="91">
                  <c:v>327</c:v>
                </c:pt>
                <c:pt idx="92">
                  <c:v>3153</c:v>
                </c:pt>
                <c:pt idx="93">
                  <c:v>352</c:v>
                </c:pt>
                <c:pt idx="94">
                  <c:v>442</c:v>
                </c:pt>
                <c:pt idx="95">
                  <c:v>571</c:v>
                </c:pt>
                <c:pt idx="96">
                  <c:v>1162</c:v>
                </c:pt>
                <c:pt idx="97">
                  <c:v>1674</c:v>
                </c:pt>
                <c:pt idx="98">
                  <c:v>632</c:v>
                </c:pt>
                <c:pt idx="99">
                  <c:v>3010</c:v>
                </c:pt>
                <c:pt idx="100">
                  <c:v>1266</c:v>
                </c:pt>
                <c:pt idx="101">
                  <c:v>1262</c:v>
                </c:pt>
                <c:pt idx="102">
                  <c:v>3717</c:v>
                </c:pt>
                <c:pt idx="103">
                  <c:v>1467</c:v>
                </c:pt>
                <c:pt idx="104">
                  <c:v>277</c:v>
                </c:pt>
                <c:pt idx="105">
                  <c:v>588</c:v>
                </c:pt>
                <c:pt idx="106">
                  <c:v>2942</c:v>
                </c:pt>
                <c:pt idx="107">
                  <c:v>3041</c:v>
                </c:pt>
                <c:pt idx="108">
                  <c:v>471</c:v>
                </c:pt>
                <c:pt idx="109">
                  <c:v>313</c:v>
                </c:pt>
                <c:pt idx="110">
                  <c:v>2480</c:v>
                </c:pt>
                <c:pt idx="111">
                  <c:v>2283</c:v>
                </c:pt>
                <c:pt idx="112">
                  <c:v>3232</c:v>
                </c:pt>
                <c:pt idx="113">
                  <c:v>1687</c:v>
                </c:pt>
                <c:pt idx="114">
                  <c:v>481</c:v>
                </c:pt>
                <c:pt idx="115">
                  <c:v>412</c:v>
                </c:pt>
                <c:pt idx="116">
                  <c:v>1085</c:v>
                </c:pt>
                <c:pt idx="117">
                  <c:v>1609</c:v>
                </c:pt>
                <c:pt idx="118">
                  <c:v>1759</c:v>
                </c:pt>
                <c:pt idx="119">
                  <c:v>1049</c:v>
                </c:pt>
                <c:pt idx="120">
                  <c:v>4010</c:v>
                </c:pt>
                <c:pt idx="121">
                  <c:v>467</c:v>
                </c:pt>
                <c:pt idx="122">
                  <c:v>2611</c:v>
                </c:pt>
                <c:pt idx="123">
                  <c:v>603</c:v>
                </c:pt>
                <c:pt idx="124">
                  <c:v>613</c:v>
                </c:pt>
                <c:pt idx="125">
                  <c:v>3042</c:v>
                </c:pt>
                <c:pt idx="126">
                  <c:v>626</c:v>
                </c:pt>
                <c:pt idx="127">
                  <c:v>1040</c:v>
                </c:pt>
                <c:pt idx="128">
                  <c:v>3541</c:v>
                </c:pt>
                <c:pt idx="129">
                  <c:v>2000</c:v>
                </c:pt>
                <c:pt idx="130">
                  <c:v>2193</c:v>
                </c:pt>
                <c:pt idx="131">
                  <c:v>751</c:v>
                </c:pt>
                <c:pt idx="132">
                  <c:v>784</c:v>
                </c:pt>
                <c:pt idx="133">
                  <c:v>3187</c:v>
                </c:pt>
                <c:pt idx="134">
                  <c:v>817</c:v>
                </c:pt>
                <c:pt idx="135">
                  <c:v>277</c:v>
                </c:pt>
                <c:pt idx="136">
                  <c:v>1153</c:v>
                </c:pt>
                <c:pt idx="137">
                  <c:v>782</c:v>
                </c:pt>
                <c:pt idx="138">
                  <c:v>3557</c:v>
                </c:pt>
                <c:pt idx="139">
                  <c:v>2100</c:v>
                </c:pt>
                <c:pt idx="140">
                  <c:v>280</c:v>
                </c:pt>
                <c:pt idx="141">
                  <c:v>385</c:v>
                </c:pt>
                <c:pt idx="142">
                  <c:v>2651</c:v>
                </c:pt>
                <c:pt idx="143">
                  <c:v>2554</c:v>
                </c:pt>
                <c:pt idx="144">
                  <c:v>1534</c:v>
                </c:pt>
                <c:pt idx="145">
                  <c:v>1014</c:v>
                </c:pt>
                <c:pt idx="146">
                  <c:v>2079</c:v>
                </c:pt>
                <c:pt idx="147">
                  <c:v>470</c:v>
                </c:pt>
                <c:pt idx="148">
                  <c:v>376</c:v>
                </c:pt>
                <c:pt idx="149">
                  <c:v>2405</c:v>
                </c:pt>
                <c:pt idx="150">
                  <c:v>933</c:v>
                </c:pt>
                <c:pt idx="151">
                  <c:v>1392</c:v>
                </c:pt>
                <c:pt idx="152">
                  <c:v>3069</c:v>
                </c:pt>
                <c:pt idx="153">
                  <c:v>3765</c:v>
                </c:pt>
                <c:pt idx="154">
                  <c:v>2551</c:v>
                </c:pt>
                <c:pt idx="155">
                  <c:v>1267</c:v>
                </c:pt>
                <c:pt idx="156">
                  <c:v>1017</c:v>
                </c:pt>
                <c:pt idx="157">
                  <c:v>1536</c:v>
                </c:pt>
                <c:pt idx="158">
                  <c:v>1478</c:v>
                </c:pt>
                <c:pt idx="159">
                  <c:v>1571</c:v>
                </c:pt>
                <c:pt idx="160">
                  <c:v>1358</c:v>
                </c:pt>
                <c:pt idx="161">
                  <c:v>1476</c:v>
                </c:pt>
                <c:pt idx="162">
                  <c:v>2115</c:v>
                </c:pt>
                <c:pt idx="163">
                  <c:v>328</c:v>
                </c:pt>
                <c:pt idx="164">
                  <c:v>894</c:v>
                </c:pt>
                <c:pt idx="165">
                  <c:v>1866</c:v>
                </c:pt>
                <c:pt idx="166">
                  <c:v>568</c:v>
                </c:pt>
                <c:pt idx="167">
                  <c:v>2655</c:v>
                </c:pt>
                <c:pt idx="168">
                  <c:v>322</c:v>
                </c:pt>
                <c:pt idx="169">
                  <c:v>286</c:v>
                </c:pt>
                <c:pt idx="170">
                  <c:v>1576</c:v>
                </c:pt>
                <c:pt idx="171">
                  <c:v>419</c:v>
                </c:pt>
                <c:pt idx="172">
                  <c:v>2088</c:v>
                </c:pt>
                <c:pt idx="173">
                  <c:v>886</c:v>
                </c:pt>
                <c:pt idx="174">
                  <c:v>702</c:v>
                </c:pt>
                <c:pt idx="175">
                  <c:v>806</c:v>
                </c:pt>
                <c:pt idx="176">
                  <c:v>551</c:v>
                </c:pt>
                <c:pt idx="177">
                  <c:v>2015</c:v>
                </c:pt>
                <c:pt idx="178">
                  <c:v>3065</c:v>
                </c:pt>
                <c:pt idx="179">
                  <c:v>1997</c:v>
                </c:pt>
                <c:pt idx="180">
                  <c:v>1610</c:v>
                </c:pt>
                <c:pt idx="181">
                  <c:v>1757</c:v>
                </c:pt>
                <c:pt idx="182">
                  <c:v>1573</c:v>
                </c:pt>
                <c:pt idx="183">
                  <c:v>1666</c:v>
                </c:pt>
                <c:pt idx="184">
                  <c:v>1737</c:v>
                </c:pt>
                <c:pt idx="185">
                  <c:v>3214</c:v>
                </c:pt>
                <c:pt idx="186">
                  <c:v>1021</c:v>
                </c:pt>
                <c:pt idx="187">
                  <c:v>570</c:v>
                </c:pt>
                <c:pt idx="188">
                  <c:v>2526</c:v>
                </c:pt>
                <c:pt idx="189">
                  <c:v>696</c:v>
                </c:pt>
                <c:pt idx="190">
                  <c:v>755</c:v>
                </c:pt>
                <c:pt idx="191">
                  <c:v>2351</c:v>
                </c:pt>
                <c:pt idx="192">
                  <c:v>515</c:v>
                </c:pt>
                <c:pt idx="193">
                  <c:v>1934</c:v>
                </c:pt>
                <c:pt idx="194">
                  <c:v>1194</c:v>
                </c:pt>
                <c:pt idx="195">
                  <c:v>2992</c:v>
                </c:pt>
                <c:pt idx="196">
                  <c:v>387</c:v>
                </c:pt>
                <c:pt idx="197">
                  <c:v>1304</c:v>
                </c:pt>
                <c:pt idx="198">
                  <c:v>982</c:v>
                </c:pt>
                <c:pt idx="199">
                  <c:v>3048</c:v>
                </c:pt>
                <c:pt idx="200">
                  <c:v>303</c:v>
                </c:pt>
                <c:pt idx="201">
                  <c:v>749</c:v>
                </c:pt>
                <c:pt idx="202">
                  <c:v>1532</c:v>
                </c:pt>
                <c:pt idx="203">
                  <c:v>1157</c:v>
                </c:pt>
                <c:pt idx="204">
                  <c:v>1562</c:v>
                </c:pt>
                <c:pt idx="205">
                  <c:v>693</c:v>
                </c:pt>
                <c:pt idx="206">
                  <c:v>367</c:v>
                </c:pt>
                <c:pt idx="207">
                  <c:v>3308</c:v>
                </c:pt>
                <c:pt idx="208">
                  <c:v>1182</c:v>
                </c:pt>
                <c:pt idx="209">
                  <c:v>521</c:v>
                </c:pt>
                <c:pt idx="210">
                  <c:v>311</c:v>
                </c:pt>
                <c:pt idx="211">
                  <c:v>3046</c:v>
                </c:pt>
                <c:pt idx="212">
                  <c:v>918</c:v>
                </c:pt>
                <c:pt idx="213">
                  <c:v>1427</c:v>
                </c:pt>
                <c:pt idx="214">
                  <c:v>487</c:v>
                </c:pt>
                <c:pt idx="215">
                  <c:v>2264</c:v>
                </c:pt>
                <c:pt idx="216">
                  <c:v>3063</c:v>
                </c:pt>
                <c:pt idx="217">
                  <c:v>3133</c:v>
                </c:pt>
                <c:pt idx="218">
                  <c:v>695</c:v>
                </c:pt>
                <c:pt idx="219">
                  <c:v>2277</c:v>
                </c:pt>
                <c:pt idx="220">
                  <c:v>1271</c:v>
                </c:pt>
                <c:pt idx="221">
                  <c:v>920</c:v>
                </c:pt>
                <c:pt idx="222">
                  <c:v>409</c:v>
                </c:pt>
                <c:pt idx="223">
                  <c:v>371</c:v>
                </c:pt>
                <c:pt idx="224">
                  <c:v>904</c:v>
                </c:pt>
                <c:pt idx="225">
                  <c:v>604</c:v>
                </c:pt>
                <c:pt idx="226">
                  <c:v>783</c:v>
                </c:pt>
                <c:pt idx="227">
                  <c:v>295</c:v>
                </c:pt>
                <c:pt idx="228">
                  <c:v>2166</c:v>
                </c:pt>
                <c:pt idx="229">
                  <c:v>561</c:v>
                </c:pt>
                <c:pt idx="230">
                  <c:v>330</c:v>
                </c:pt>
                <c:pt idx="231">
                  <c:v>842</c:v>
                </c:pt>
                <c:pt idx="232">
                  <c:v>837</c:v>
                </c:pt>
                <c:pt idx="233">
                  <c:v>939</c:v>
                </c:pt>
                <c:pt idx="234">
                  <c:v>694</c:v>
                </c:pt>
                <c:pt idx="235">
                  <c:v>2508</c:v>
                </c:pt>
                <c:pt idx="236">
                  <c:v>327</c:v>
                </c:pt>
                <c:pt idx="237">
                  <c:v>433</c:v>
                </c:pt>
                <c:pt idx="238">
                  <c:v>312</c:v>
                </c:pt>
                <c:pt idx="239">
                  <c:v>651</c:v>
                </c:pt>
                <c:pt idx="240">
                  <c:v>411</c:v>
                </c:pt>
                <c:pt idx="241">
                  <c:v>2758</c:v>
                </c:pt>
                <c:pt idx="242">
                  <c:v>382</c:v>
                </c:pt>
                <c:pt idx="243">
                  <c:v>620</c:v>
                </c:pt>
                <c:pt idx="244">
                  <c:v>3000</c:v>
                </c:pt>
                <c:pt idx="245">
                  <c:v>1807</c:v>
                </c:pt>
                <c:pt idx="246">
                  <c:v>1680</c:v>
                </c:pt>
              </c:numCache>
            </c:numRef>
          </c:xVal>
          <c:yVal>
            <c:numRef>
              <c:f>results_complex_200!$M$2:$M$248</c:f>
              <c:numCache>
                <c:formatCode>General</c:formatCode>
                <c:ptCount val="247"/>
                <c:pt idx="0">
                  <c:v>54.339999999999897</c:v>
                </c:pt>
                <c:pt idx="1">
                  <c:v>48.63</c:v>
                </c:pt>
                <c:pt idx="2">
                  <c:v>54.64</c:v>
                </c:pt>
                <c:pt idx="3">
                  <c:v>51.349999999999902</c:v>
                </c:pt>
                <c:pt idx="4">
                  <c:v>52.53</c:v>
                </c:pt>
                <c:pt idx="5">
                  <c:v>52.37</c:v>
                </c:pt>
                <c:pt idx="6">
                  <c:v>53.769999999999897</c:v>
                </c:pt>
                <c:pt idx="7">
                  <c:v>52.03</c:v>
                </c:pt>
                <c:pt idx="8">
                  <c:v>52.3599999999999</c:v>
                </c:pt>
                <c:pt idx="9">
                  <c:v>54.79</c:v>
                </c:pt>
                <c:pt idx="10">
                  <c:v>51.59</c:v>
                </c:pt>
                <c:pt idx="11">
                  <c:v>52.1</c:v>
                </c:pt>
                <c:pt idx="12">
                  <c:v>51.18</c:v>
                </c:pt>
                <c:pt idx="13">
                  <c:v>53</c:v>
                </c:pt>
                <c:pt idx="14">
                  <c:v>54.51</c:v>
                </c:pt>
                <c:pt idx="15">
                  <c:v>53.33</c:v>
                </c:pt>
                <c:pt idx="16">
                  <c:v>53.98</c:v>
                </c:pt>
                <c:pt idx="17">
                  <c:v>31.319999999999901</c:v>
                </c:pt>
                <c:pt idx="18">
                  <c:v>51.92</c:v>
                </c:pt>
                <c:pt idx="19">
                  <c:v>46.2</c:v>
                </c:pt>
                <c:pt idx="20">
                  <c:v>54.12</c:v>
                </c:pt>
                <c:pt idx="21">
                  <c:v>51.89</c:v>
                </c:pt>
                <c:pt idx="22">
                  <c:v>34.15</c:v>
                </c:pt>
                <c:pt idx="23">
                  <c:v>52.23</c:v>
                </c:pt>
                <c:pt idx="24">
                  <c:v>47.13</c:v>
                </c:pt>
                <c:pt idx="25">
                  <c:v>54.279999999999902</c:v>
                </c:pt>
                <c:pt idx="26">
                  <c:v>45.86</c:v>
                </c:pt>
                <c:pt idx="27">
                  <c:v>49.98</c:v>
                </c:pt>
                <c:pt idx="28">
                  <c:v>53.66</c:v>
                </c:pt>
                <c:pt idx="29">
                  <c:v>55.42</c:v>
                </c:pt>
                <c:pt idx="30">
                  <c:v>53.65</c:v>
                </c:pt>
                <c:pt idx="31">
                  <c:v>55.75</c:v>
                </c:pt>
                <c:pt idx="32">
                  <c:v>55.059999999999903</c:v>
                </c:pt>
                <c:pt idx="33">
                  <c:v>51.339999999999897</c:v>
                </c:pt>
                <c:pt idx="34">
                  <c:v>50.73</c:v>
                </c:pt>
                <c:pt idx="35">
                  <c:v>52.62</c:v>
                </c:pt>
                <c:pt idx="36">
                  <c:v>54.9</c:v>
                </c:pt>
                <c:pt idx="37">
                  <c:v>49.73</c:v>
                </c:pt>
                <c:pt idx="38">
                  <c:v>54.669999999999902</c:v>
                </c:pt>
                <c:pt idx="39">
                  <c:v>53.59</c:v>
                </c:pt>
                <c:pt idx="40">
                  <c:v>51.98</c:v>
                </c:pt>
                <c:pt idx="41">
                  <c:v>51.129999999999903</c:v>
                </c:pt>
                <c:pt idx="42">
                  <c:v>48.67</c:v>
                </c:pt>
                <c:pt idx="43">
                  <c:v>51.59</c:v>
                </c:pt>
                <c:pt idx="44">
                  <c:v>50.66</c:v>
                </c:pt>
                <c:pt idx="45">
                  <c:v>55.32</c:v>
                </c:pt>
                <c:pt idx="46">
                  <c:v>49.68</c:v>
                </c:pt>
                <c:pt idx="47">
                  <c:v>39.589999999999897</c:v>
                </c:pt>
                <c:pt idx="48">
                  <c:v>47.43</c:v>
                </c:pt>
                <c:pt idx="49">
                  <c:v>52.29</c:v>
                </c:pt>
                <c:pt idx="50">
                  <c:v>53.23</c:v>
                </c:pt>
                <c:pt idx="51">
                  <c:v>54.61</c:v>
                </c:pt>
                <c:pt idx="52">
                  <c:v>55.37</c:v>
                </c:pt>
                <c:pt idx="53">
                  <c:v>50.42</c:v>
                </c:pt>
                <c:pt idx="54">
                  <c:v>51.449999999999903</c:v>
                </c:pt>
                <c:pt idx="55">
                  <c:v>51.49</c:v>
                </c:pt>
                <c:pt idx="56">
                  <c:v>51.4</c:v>
                </c:pt>
                <c:pt idx="57">
                  <c:v>53.169999999999902</c:v>
                </c:pt>
                <c:pt idx="58">
                  <c:v>17.02</c:v>
                </c:pt>
                <c:pt idx="59">
                  <c:v>47.74</c:v>
                </c:pt>
                <c:pt idx="60">
                  <c:v>54.87</c:v>
                </c:pt>
                <c:pt idx="61">
                  <c:v>53.03</c:v>
                </c:pt>
                <c:pt idx="62">
                  <c:v>52.76</c:v>
                </c:pt>
                <c:pt idx="63">
                  <c:v>54.02</c:v>
                </c:pt>
                <c:pt idx="64">
                  <c:v>53.82</c:v>
                </c:pt>
                <c:pt idx="65">
                  <c:v>47.43</c:v>
                </c:pt>
                <c:pt idx="66">
                  <c:v>46.339999999999897</c:v>
                </c:pt>
                <c:pt idx="67">
                  <c:v>52.88</c:v>
                </c:pt>
                <c:pt idx="68">
                  <c:v>53.239999999999903</c:v>
                </c:pt>
                <c:pt idx="69">
                  <c:v>52.61</c:v>
                </c:pt>
                <c:pt idx="70">
                  <c:v>50.36</c:v>
                </c:pt>
                <c:pt idx="71">
                  <c:v>54.37</c:v>
                </c:pt>
                <c:pt idx="72">
                  <c:v>54.36</c:v>
                </c:pt>
                <c:pt idx="73">
                  <c:v>48.42</c:v>
                </c:pt>
                <c:pt idx="74">
                  <c:v>54.35</c:v>
                </c:pt>
                <c:pt idx="75">
                  <c:v>55.19</c:v>
                </c:pt>
                <c:pt idx="76">
                  <c:v>41.65</c:v>
                </c:pt>
                <c:pt idx="77">
                  <c:v>52.2</c:v>
                </c:pt>
                <c:pt idx="78">
                  <c:v>54.63</c:v>
                </c:pt>
                <c:pt idx="79">
                  <c:v>49.55</c:v>
                </c:pt>
                <c:pt idx="80">
                  <c:v>54.2</c:v>
                </c:pt>
                <c:pt idx="81">
                  <c:v>55.4</c:v>
                </c:pt>
                <c:pt idx="82">
                  <c:v>50.49</c:v>
                </c:pt>
                <c:pt idx="83">
                  <c:v>53.63</c:v>
                </c:pt>
                <c:pt idx="84">
                  <c:v>54.11</c:v>
                </c:pt>
                <c:pt idx="85">
                  <c:v>52.26</c:v>
                </c:pt>
                <c:pt idx="86">
                  <c:v>54.25</c:v>
                </c:pt>
                <c:pt idx="87">
                  <c:v>53.949999999999903</c:v>
                </c:pt>
                <c:pt idx="88">
                  <c:v>54.92</c:v>
                </c:pt>
                <c:pt idx="89">
                  <c:v>54.75</c:v>
                </c:pt>
                <c:pt idx="90">
                  <c:v>50.349999999999902</c:v>
                </c:pt>
                <c:pt idx="91">
                  <c:v>54.89</c:v>
                </c:pt>
                <c:pt idx="92">
                  <c:v>51.91</c:v>
                </c:pt>
                <c:pt idx="93">
                  <c:v>52.569999999999901</c:v>
                </c:pt>
                <c:pt idx="94">
                  <c:v>48.63</c:v>
                </c:pt>
                <c:pt idx="95">
                  <c:v>55.04</c:v>
                </c:pt>
                <c:pt idx="96">
                  <c:v>52.6</c:v>
                </c:pt>
                <c:pt idx="97">
                  <c:v>52.47</c:v>
                </c:pt>
                <c:pt idx="98">
                  <c:v>55.02</c:v>
                </c:pt>
                <c:pt idx="99">
                  <c:v>48.24</c:v>
                </c:pt>
                <c:pt idx="100">
                  <c:v>48.77</c:v>
                </c:pt>
                <c:pt idx="101">
                  <c:v>51.66</c:v>
                </c:pt>
                <c:pt idx="102">
                  <c:v>45.23</c:v>
                </c:pt>
                <c:pt idx="103">
                  <c:v>55.36</c:v>
                </c:pt>
                <c:pt idx="104">
                  <c:v>54.449999999999903</c:v>
                </c:pt>
                <c:pt idx="105">
                  <c:v>44.08</c:v>
                </c:pt>
                <c:pt idx="106">
                  <c:v>54.65</c:v>
                </c:pt>
                <c:pt idx="107">
                  <c:v>40.33</c:v>
                </c:pt>
                <c:pt idx="108">
                  <c:v>49.81</c:v>
                </c:pt>
                <c:pt idx="109">
                  <c:v>52.769999999999897</c:v>
                </c:pt>
                <c:pt idx="110">
                  <c:v>49.86</c:v>
                </c:pt>
                <c:pt idx="111">
                  <c:v>43.21</c:v>
                </c:pt>
                <c:pt idx="112">
                  <c:v>48.58</c:v>
                </c:pt>
                <c:pt idx="113">
                  <c:v>50.91</c:v>
                </c:pt>
                <c:pt idx="114">
                  <c:v>55.089999999999897</c:v>
                </c:pt>
                <c:pt idx="115">
                  <c:v>46.88</c:v>
                </c:pt>
                <c:pt idx="116">
                  <c:v>54.84</c:v>
                </c:pt>
                <c:pt idx="117">
                  <c:v>52.58</c:v>
                </c:pt>
                <c:pt idx="118">
                  <c:v>53.44</c:v>
                </c:pt>
                <c:pt idx="119">
                  <c:v>53.39</c:v>
                </c:pt>
                <c:pt idx="120">
                  <c:v>53.42</c:v>
                </c:pt>
                <c:pt idx="121">
                  <c:v>45.37</c:v>
                </c:pt>
                <c:pt idx="122">
                  <c:v>49.559999999999903</c:v>
                </c:pt>
                <c:pt idx="123">
                  <c:v>52.51</c:v>
                </c:pt>
                <c:pt idx="124">
                  <c:v>48.87</c:v>
                </c:pt>
                <c:pt idx="125">
                  <c:v>52.78</c:v>
                </c:pt>
                <c:pt idx="126">
                  <c:v>52.83</c:v>
                </c:pt>
                <c:pt idx="127">
                  <c:v>46.85</c:v>
                </c:pt>
                <c:pt idx="128">
                  <c:v>47.339999999999897</c:v>
                </c:pt>
                <c:pt idx="129">
                  <c:v>52.66</c:v>
                </c:pt>
                <c:pt idx="130">
                  <c:v>43.07</c:v>
                </c:pt>
                <c:pt idx="131">
                  <c:v>53.73</c:v>
                </c:pt>
                <c:pt idx="132">
                  <c:v>19.91</c:v>
                </c:pt>
                <c:pt idx="133">
                  <c:v>53.51</c:v>
                </c:pt>
                <c:pt idx="134">
                  <c:v>50.01</c:v>
                </c:pt>
                <c:pt idx="135">
                  <c:v>45.56</c:v>
                </c:pt>
                <c:pt idx="136">
                  <c:v>45.55</c:v>
                </c:pt>
                <c:pt idx="137">
                  <c:v>55.089999999999897</c:v>
                </c:pt>
                <c:pt idx="138">
                  <c:v>43.8</c:v>
                </c:pt>
                <c:pt idx="139">
                  <c:v>54.59</c:v>
                </c:pt>
                <c:pt idx="140">
                  <c:v>52.18</c:v>
                </c:pt>
                <c:pt idx="141">
                  <c:v>54.42</c:v>
                </c:pt>
                <c:pt idx="142">
                  <c:v>54.559999999999903</c:v>
                </c:pt>
                <c:pt idx="143">
                  <c:v>55.61</c:v>
                </c:pt>
                <c:pt idx="144">
                  <c:v>52.43</c:v>
                </c:pt>
                <c:pt idx="145">
                  <c:v>55.32</c:v>
                </c:pt>
                <c:pt idx="146">
                  <c:v>51.18</c:v>
                </c:pt>
                <c:pt idx="147">
                  <c:v>52.25</c:v>
                </c:pt>
                <c:pt idx="148">
                  <c:v>53.7</c:v>
                </c:pt>
                <c:pt idx="149">
                  <c:v>54.65</c:v>
                </c:pt>
                <c:pt idx="150">
                  <c:v>55.489999999999903</c:v>
                </c:pt>
                <c:pt idx="151">
                  <c:v>55.2</c:v>
                </c:pt>
                <c:pt idx="152">
                  <c:v>38.5</c:v>
                </c:pt>
                <c:pt idx="153">
                  <c:v>18.850000000000001</c:v>
                </c:pt>
                <c:pt idx="154">
                  <c:v>45.44</c:v>
                </c:pt>
                <c:pt idx="155">
                  <c:v>53.99</c:v>
                </c:pt>
                <c:pt idx="156">
                  <c:v>52.11</c:v>
                </c:pt>
                <c:pt idx="157">
                  <c:v>45.91</c:v>
                </c:pt>
                <c:pt idx="158">
                  <c:v>55.089999999999897</c:v>
                </c:pt>
                <c:pt idx="159">
                  <c:v>52.949999999999903</c:v>
                </c:pt>
                <c:pt idx="160">
                  <c:v>54.1799999999999</c:v>
                </c:pt>
                <c:pt idx="161">
                  <c:v>54.87</c:v>
                </c:pt>
                <c:pt idx="162">
                  <c:v>54.37</c:v>
                </c:pt>
                <c:pt idx="163">
                  <c:v>52.15</c:v>
                </c:pt>
                <c:pt idx="164">
                  <c:v>55.7</c:v>
                </c:pt>
                <c:pt idx="165">
                  <c:v>49.47</c:v>
                </c:pt>
                <c:pt idx="166">
                  <c:v>49.19</c:v>
                </c:pt>
                <c:pt idx="167">
                  <c:v>47.599999999999902</c:v>
                </c:pt>
                <c:pt idx="168">
                  <c:v>52.72</c:v>
                </c:pt>
                <c:pt idx="169">
                  <c:v>53.069999999999901</c:v>
                </c:pt>
                <c:pt idx="170">
                  <c:v>55.16</c:v>
                </c:pt>
                <c:pt idx="171">
                  <c:v>53.19</c:v>
                </c:pt>
                <c:pt idx="172">
                  <c:v>50.8</c:v>
                </c:pt>
                <c:pt idx="173">
                  <c:v>53.41</c:v>
                </c:pt>
                <c:pt idx="174">
                  <c:v>53.76</c:v>
                </c:pt>
                <c:pt idx="175">
                  <c:v>51.66</c:v>
                </c:pt>
                <c:pt idx="176">
                  <c:v>54.69</c:v>
                </c:pt>
                <c:pt idx="177">
                  <c:v>51.97</c:v>
                </c:pt>
                <c:pt idx="178">
                  <c:v>53.33</c:v>
                </c:pt>
                <c:pt idx="179">
                  <c:v>53.71</c:v>
                </c:pt>
                <c:pt idx="180">
                  <c:v>42.089999999999897</c:v>
                </c:pt>
                <c:pt idx="181">
                  <c:v>49.49</c:v>
                </c:pt>
                <c:pt idx="182">
                  <c:v>51.6</c:v>
                </c:pt>
                <c:pt idx="183">
                  <c:v>52.11</c:v>
                </c:pt>
                <c:pt idx="184">
                  <c:v>52.72</c:v>
                </c:pt>
                <c:pt idx="185">
                  <c:v>54.26</c:v>
                </c:pt>
                <c:pt idx="186">
                  <c:v>53.5</c:v>
                </c:pt>
                <c:pt idx="187">
                  <c:v>45.9</c:v>
                </c:pt>
                <c:pt idx="188">
                  <c:v>53.23</c:v>
                </c:pt>
                <c:pt idx="189">
                  <c:v>53.08</c:v>
                </c:pt>
                <c:pt idx="190">
                  <c:v>54.41</c:v>
                </c:pt>
                <c:pt idx="191">
                  <c:v>53.239999999999903</c:v>
                </c:pt>
                <c:pt idx="192">
                  <c:v>54.98</c:v>
                </c:pt>
                <c:pt idx="193">
                  <c:v>54.6</c:v>
                </c:pt>
                <c:pt idx="194">
                  <c:v>54.22</c:v>
                </c:pt>
                <c:pt idx="195">
                  <c:v>33.39</c:v>
                </c:pt>
                <c:pt idx="196">
                  <c:v>52.019999999999897</c:v>
                </c:pt>
                <c:pt idx="197">
                  <c:v>53.89</c:v>
                </c:pt>
                <c:pt idx="198">
                  <c:v>44.68</c:v>
                </c:pt>
                <c:pt idx="199">
                  <c:v>51.71</c:v>
                </c:pt>
                <c:pt idx="200">
                  <c:v>52.949999999999903</c:v>
                </c:pt>
                <c:pt idx="201">
                  <c:v>54.8</c:v>
                </c:pt>
                <c:pt idx="202">
                  <c:v>43.1</c:v>
                </c:pt>
                <c:pt idx="203">
                  <c:v>54.42</c:v>
                </c:pt>
                <c:pt idx="204">
                  <c:v>54.1</c:v>
                </c:pt>
                <c:pt idx="205">
                  <c:v>52.449999999999903</c:v>
                </c:pt>
                <c:pt idx="206">
                  <c:v>52.3</c:v>
                </c:pt>
                <c:pt idx="207">
                  <c:v>52.19</c:v>
                </c:pt>
                <c:pt idx="208">
                  <c:v>55.059999999999903</c:v>
                </c:pt>
                <c:pt idx="209">
                  <c:v>48.87</c:v>
                </c:pt>
                <c:pt idx="210">
                  <c:v>31</c:v>
                </c:pt>
                <c:pt idx="211">
                  <c:v>55.24</c:v>
                </c:pt>
                <c:pt idx="212">
                  <c:v>54.02</c:v>
                </c:pt>
                <c:pt idx="213">
                  <c:v>51.87</c:v>
                </c:pt>
                <c:pt idx="214">
                  <c:v>53.459999999999901</c:v>
                </c:pt>
                <c:pt idx="215">
                  <c:v>45.68</c:v>
                </c:pt>
                <c:pt idx="216">
                  <c:v>46.25</c:v>
                </c:pt>
                <c:pt idx="217">
                  <c:v>51.259999999999899</c:v>
                </c:pt>
                <c:pt idx="218">
                  <c:v>54.13</c:v>
                </c:pt>
                <c:pt idx="219">
                  <c:v>54.669999999999902</c:v>
                </c:pt>
                <c:pt idx="220">
                  <c:v>51.87</c:v>
                </c:pt>
                <c:pt idx="221">
                  <c:v>49.45</c:v>
                </c:pt>
                <c:pt idx="222">
                  <c:v>54.6</c:v>
                </c:pt>
                <c:pt idx="223">
                  <c:v>50.61</c:v>
                </c:pt>
                <c:pt idx="224">
                  <c:v>55.6</c:v>
                </c:pt>
                <c:pt idx="225">
                  <c:v>53.58</c:v>
                </c:pt>
                <c:pt idx="226">
                  <c:v>54.09</c:v>
                </c:pt>
                <c:pt idx="227">
                  <c:v>52.81</c:v>
                </c:pt>
                <c:pt idx="228">
                  <c:v>44.84</c:v>
                </c:pt>
                <c:pt idx="229">
                  <c:v>51.44</c:v>
                </c:pt>
                <c:pt idx="230">
                  <c:v>52.55</c:v>
                </c:pt>
                <c:pt idx="231">
                  <c:v>53.01</c:v>
                </c:pt>
                <c:pt idx="232">
                  <c:v>50.61</c:v>
                </c:pt>
                <c:pt idx="233">
                  <c:v>54.92</c:v>
                </c:pt>
                <c:pt idx="234">
                  <c:v>50.77</c:v>
                </c:pt>
                <c:pt idx="235">
                  <c:v>47.06</c:v>
                </c:pt>
                <c:pt idx="236">
                  <c:v>54.14</c:v>
                </c:pt>
                <c:pt idx="237">
                  <c:v>54.059999999999903</c:v>
                </c:pt>
                <c:pt idx="238">
                  <c:v>51.28</c:v>
                </c:pt>
                <c:pt idx="239">
                  <c:v>54.4</c:v>
                </c:pt>
                <c:pt idx="240">
                  <c:v>53.41</c:v>
                </c:pt>
                <c:pt idx="241">
                  <c:v>53.58</c:v>
                </c:pt>
                <c:pt idx="242">
                  <c:v>55</c:v>
                </c:pt>
                <c:pt idx="243">
                  <c:v>46.01</c:v>
                </c:pt>
                <c:pt idx="244">
                  <c:v>16.52</c:v>
                </c:pt>
                <c:pt idx="245">
                  <c:v>54.7</c:v>
                </c:pt>
                <c:pt idx="246">
                  <c:v>54.24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A-4D73-9FFD-C0546478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48832"/>
        <c:axId val="201865632"/>
      </c:scatterChart>
      <c:valAx>
        <c:axId val="201848832"/>
        <c:scaling>
          <c:logBase val="2"/>
          <c:orientation val="minMax"/>
          <c:min val="25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5632"/>
        <c:crosses val="autoZero"/>
        <c:crossBetween val="midCat"/>
      </c:valAx>
      <c:valAx>
        <c:axId val="20186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 Accuracy</a:t>
            </a:r>
            <a:r>
              <a:rPr lang="cs-CZ"/>
              <a:t> vs batch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results_complex_200!$M$1</c:f>
              <c:strCache>
                <c:ptCount val="1"/>
                <c:pt idx="0">
                  <c:v>Val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results_complex_200!$H$2:$H$248</c:f>
              <c:numCache>
                <c:formatCode>General</c:formatCode>
                <c:ptCount val="247"/>
                <c:pt idx="0">
                  <c:v>379</c:v>
                </c:pt>
                <c:pt idx="1">
                  <c:v>82</c:v>
                </c:pt>
                <c:pt idx="2">
                  <c:v>186</c:v>
                </c:pt>
                <c:pt idx="3">
                  <c:v>253</c:v>
                </c:pt>
                <c:pt idx="4">
                  <c:v>203</c:v>
                </c:pt>
                <c:pt idx="5">
                  <c:v>508</c:v>
                </c:pt>
                <c:pt idx="6">
                  <c:v>226</c:v>
                </c:pt>
                <c:pt idx="7">
                  <c:v>427</c:v>
                </c:pt>
                <c:pt idx="8">
                  <c:v>141</c:v>
                </c:pt>
                <c:pt idx="9">
                  <c:v>67</c:v>
                </c:pt>
                <c:pt idx="10">
                  <c:v>431</c:v>
                </c:pt>
                <c:pt idx="11">
                  <c:v>138</c:v>
                </c:pt>
                <c:pt idx="12">
                  <c:v>68</c:v>
                </c:pt>
                <c:pt idx="13">
                  <c:v>146</c:v>
                </c:pt>
                <c:pt idx="14">
                  <c:v>266</c:v>
                </c:pt>
                <c:pt idx="15">
                  <c:v>117</c:v>
                </c:pt>
                <c:pt idx="16">
                  <c:v>74</c:v>
                </c:pt>
                <c:pt idx="17">
                  <c:v>66</c:v>
                </c:pt>
                <c:pt idx="18">
                  <c:v>220</c:v>
                </c:pt>
                <c:pt idx="19">
                  <c:v>78</c:v>
                </c:pt>
                <c:pt idx="20">
                  <c:v>171</c:v>
                </c:pt>
                <c:pt idx="21">
                  <c:v>254</c:v>
                </c:pt>
                <c:pt idx="22">
                  <c:v>182</c:v>
                </c:pt>
                <c:pt idx="23">
                  <c:v>77</c:v>
                </c:pt>
                <c:pt idx="24">
                  <c:v>148</c:v>
                </c:pt>
                <c:pt idx="25">
                  <c:v>95</c:v>
                </c:pt>
                <c:pt idx="26">
                  <c:v>94</c:v>
                </c:pt>
                <c:pt idx="27">
                  <c:v>218</c:v>
                </c:pt>
                <c:pt idx="28">
                  <c:v>79</c:v>
                </c:pt>
                <c:pt idx="29">
                  <c:v>318</c:v>
                </c:pt>
                <c:pt idx="30">
                  <c:v>134</c:v>
                </c:pt>
                <c:pt idx="31">
                  <c:v>285</c:v>
                </c:pt>
                <c:pt idx="32">
                  <c:v>68</c:v>
                </c:pt>
                <c:pt idx="33">
                  <c:v>253</c:v>
                </c:pt>
                <c:pt idx="34">
                  <c:v>130</c:v>
                </c:pt>
                <c:pt idx="35">
                  <c:v>144</c:v>
                </c:pt>
                <c:pt idx="36">
                  <c:v>96</c:v>
                </c:pt>
                <c:pt idx="37">
                  <c:v>407</c:v>
                </c:pt>
                <c:pt idx="38">
                  <c:v>431</c:v>
                </c:pt>
                <c:pt idx="39">
                  <c:v>272</c:v>
                </c:pt>
                <c:pt idx="40">
                  <c:v>302</c:v>
                </c:pt>
                <c:pt idx="41">
                  <c:v>433</c:v>
                </c:pt>
                <c:pt idx="42">
                  <c:v>150</c:v>
                </c:pt>
                <c:pt idx="43">
                  <c:v>208</c:v>
                </c:pt>
                <c:pt idx="44">
                  <c:v>118</c:v>
                </c:pt>
                <c:pt idx="45">
                  <c:v>89</c:v>
                </c:pt>
                <c:pt idx="46">
                  <c:v>81</c:v>
                </c:pt>
                <c:pt idx="47">
                  <c:v>107</c:v>
                </c:pt>
                <c:pt idx="48">
                  <c:v>76</c:v>
                </c:pt>
                <c:pt idx="49">
                  <c:v>307</c:v>
                </c:pt>
                <c:pt idx="50">
                  <c:v>449</c:v>
                </c:pt>
                <c:pt idx="51">
                  <c:v>179</c:v>
                </c:pt>
                <c:pt idx="52">
                  <c:v>216</c:v>
                </c:pt>
                <c:pt idx="53">
                  <c:v>73</c:v>
                </c:pt>
                <c:pt idx="54">
                  <c:v>274</c:v>
                </c:pt>
                <c:pt idx="55">
                  <c:v>202</c:v>
                </c:pt>
                <c:pt idx="56">
                  <c:v>92</c:v>
                </c:pt>
                <c:pt idx="57">
                  <c:v>113</c:v>
                </c:pt>
                <c:pt idx="58">
                  <c:v>184</c:v>
                </c:pt>
                <c:pt idx="59">
                  <c:v>75</c:v>
                </c:pt>
                <c:pt idx="60">
                  <c:v>112</c:v>
                </c:pt>
                <c:pt idx="61">
                  <c:v>200</c:v>
                </c:pt>
                <c:pt idx="62">
                  <c:v>296</c:v>
                </c:pt>
                <c:pt idx="63">
                  <c:v>373</c:v>
                </c:pt>
                <c:pt idx="64">
                  <c:v>90</c:v>
                </c:pt>
                <c:pt idx="65">
                  <c:v>119</c:v>
                </c:pt>
                <c:pt idx="66">
                  <c:v>136</c:v>
                </c:pt>
                <c:pt idx="67">
                  <c:v>122</c:v>
                </c:pt>
                <c:pt idx="68">
                  <c:v>477</c:v>
                </c:pt>
                <c:pt idx="69">
                  <c:v>85</c:v>
                </c:pt>
                <c:pt idx="70">
                  <c:v>303</c:v>
                </c:pt>
                <c:pt idx="71">
                  <c:v>348</c:v>
                </c:pt>
                <c:pt idx="72">
                  <c:v>207</c:v>
                </c:pt>
                <c:pt idx="73">
                  <c:v>107</c:v>
                </c:pt>
                <c:pt idx="74">
                  <c:v>73</c:v>
                </c:pt>
                <c:pt idx="75">
                  <c:v>447</c:v>
                </c:pt>
                <c:pt idx="76">
                  <c:v>201</c:v>
                </c:pt>
                <c:pt idx="77">
                  <c:v>451</c:v>
                </c:pt>
                <c:pt idx="78">
                  <c:v>142</c:v>
                </c:pt>
                <c:pt idx="79">
                  <c:v>333</c:v>
                </c:pt>
                <c:pt idx="80">
                  <c:v>223</c:v>
                </c:pt>
                <c:pt idx="81">
                  <c:v>200</c:v>
                </c:pt>
                <c:pt idx="82">
                  <c:v>336</c:v>
                </c:pt>
                <c:pt idx="83">
                  <c:v>489</c:v>
                </c:pt>
                <c:pt idx="84">
                  <c:v>87</c:v>
                </c:pt>
                <c:pt idx="85">
                  <c:v>257</c:v>
                </c:pt>
                <c:pt idx="86">
                  <c:v>236</c:v>
                </c:pt>
                <c:pt idx="87">
                  <c:v>82</c:v>
                </c:pt>
                <c:pt idx="88">
                  <c:v>509</c:v>
                </c:pt>
                <c:pt idx="89">
                  <c:v>172</c:v>
                </c:pt>
                <c:pt idx="90">
                  <c:v>75</c:v>
                </c:pt>
                <c:pt idx="91">
                  <c:v>102</c:v>
                </c:pt>
                <c:pt idx="92">
                  <c:v>305</c:v>
                </c:pt>
                <c:pt idx="93">
                  <c:v>247</c:v>
                </c:pt>
                <c:pt idx="94">
                  <c:v>96</c:v>
                </c:pt>
                <c:pt idx="95">
                  <c:v>284</c:v>
                </c:pt>
                <c:pt idx="96">
                  <c:v>335</c:v>
                </c:pt>
                <c:pt idx="97">
                  <c:v>116</c:v>
                </c:pt>
                <c:pt idx="98">
                  <c:v>117</c:v>
                </c:pt>
                <c:pt idx="99">
                  <c:v>154</c:v>
                </c:pt>
                <c:pt idx="100">
                  <c:v>459</c:v>
                </c:pt>
                <c:pt idx="101">
                  <c:v>65</c:v>
                </c:pt>
                <c:pt idx="102">
                  <c:v>261</c:v>
                </c:pt>
                <c:pt idx="103">
                  <c:v>214</c:v>
                </c:pt>
                <c:pt idx="104">
                  <c:v>312</c:v>
                </c:pt>
                <c:pt idx="105">
                  <c:v>114</c:v>
                </c:pt>
                <c:pt idx="106">
                  <c:v>500</c:v>
                </c:pt>
                <c:pt idx="107">
                  <c:v>160</c:v>
                </c:pt>
                <c:pt idx="108">
                  <c:v>95</c:v>
                </c:pt>
                <c:pt idx="109">
                  <c:v>287</c:v>
                </c:pt>
                <c:pt idx="110">
                  <c:v>211</c:v>
                </c:pt>
                <c:pt idx="111">
                  <c:v>70</c:v>
                </c:pt>
                <c:pt idx="112">
                  <c:v>157</c:v>
                </c:pt>
                <c:pt idx="113">
                  <c:v>190</c:v>
                </c:pt>
                <c:pt idx="114">
                  <c:v>97</c:v>
                </c:pt>
                <c:pt idx="115">
                  <c:v>99</c:v>
                </c:pt>
                <c:pt idx="116">
                  <c:v>140</c:v>
                </c:pt>
                <c:pt idx="117">
                  <c:v>68</c:v>
                </c:pt>
                <c:pt idx="118">
                  <c:v>379</c:v>
                </c:pt>
                <c:pt idx="119">
                  <c:v>150</c:v>
                </c:pt>
                <c:pt idx="120">
                  <c:v>474</c:v>
                </c:pt>
                <c:pt idx="121">
                  <c:v>497</c:v>
                </c:pt>
                <c:pt idx="122">
                  <c:v>287</c:v>
                </c:pt>
                <c:pt idx="123">
                  <c:v>116</c:v>
                </c:pt>
                <c:pt idx="124">
                  <c:v>99</c:v>
                </c:pt>
                <c:pt idx="125">
                  <c:v>176</c:v>
                </c:pt>
                <c:pt idx="126">
                  <c:v>430</c:v>
                </c:pt>
                <c:pt idx="127">
                  <c:v>148</c:v>
                </c:pt>
                <c:pt idx="128">
                  <c:v>87</c:v>
                </c:pt>
                <c:pt idx="129">
                  <c:v>72</c:v>
                </c:pt>
                <c:pt idx="130">
                  <c:v>154</c:v>
                </c:pt>
                <c:pt idx="131">
                  <c:v>67</c:v>
                </c:pt>
                <c:pt idx="132">
                  <c:v>90</c:v>
                </c:pt>
                <c:pt idx="133">
                  <c:v>244</c:v>
                </c:pt>
                <c:pt idx="134">
                  <c:v>395</c:v>
                </c:pt>
                <c:pt idx="135">
                  <c:v>140</c:v>
                </c:pt>
                <c:pt idx="136">
                  <c:v>70</c:v>
                </c:pt>
                <c:pt idx="137">
                  <c:v>226</c:v>
                </c:pt>
                <c:pt idx="138">
                  <c:v>119</c:v>
                </c:pt>
                <c:pt idx="139">
                  <c:v>169</c:v>
                </c:pt>
                <c:pt idx="140">
                  <c:v>393</c:v>
                </c:pt>
                <c:pt idx="141">
                  <c:v>281</c:v>
                </c:pt>
                <c:pt idx="142">
                  <c:v>402</c:v>
                </c:pt>
                <c:pt idx="143">
                  <c:v>371</c:v>
                </c:pt>
                <c:pt idx="144">
                  <c:v>312</c:v>
                </c:pt>
                <c:pt idx="145">
                  <c:v>498</c:v>
                </c:pt>
                <c:pt idx="146">
                  <c:v>230</c:v>
                </c:pt>
                <c:pt idx="147">
                  <c:v>350</c:v>
                </c:pt>
                <c:pt idx="148">
                  <c:v>143</c:v>
                </c:pt>
                <c:pt idx="149">
                  <c:v>106</c:v>
                </c:pt>
                <c:pt idx="150">
                  <c:v>420</c:v>
                </c:pt>
                <c:pt idx="151">
                  <c:v>356</c:v>
                </c:pt>
                <c:pt idx="152">
                  <c:v>451</c:v>
                </c:pt>
                <c:pt idx="153">
                  <c:v>144</c:v>
                </c:pt>
                <c:pt idx="154">
                  <c:v>347</c:v>
                </c:pt>
                <c:pt idx="155">
                  <c:v>252</c:v>
                </c:pt>
                <c:pt idx="156">
                  <c:v>294</c:v>
                </c:pt>
                <c:pt idx="157">
                  <c:v>67</c:v>
                </c:pt>
                <c:pt idx="158">
                  <c:v>348</c:v>
                </c:pt>
                <c:pt idx="159">
                  <c:v>348</c:v>
                </c:pt>
                <c:pt idx="160">
                  <c:v>77</c:v>
                </c:pt>
                <c:pt idx="161">
                  <c:v>410</c:v>
                </c:pt>
                <c:pt idx="162">
                  <c:v>81</c:v>
                </c:pt>
                <c:pt idx="163">
                  <c:v>169</c:v>
                </c:pt>
                <c:pt idx="164">
                  <c:v>65</c:v>
                </c:pt>
                <c:pt idx="165">
                  <c:v>484</c:v>
                </c:pt>
                <c:pt idx="166">
                  <c:v>158</c:v>
                </c:pt>
                <c:pt idx="167">
                  <c:v>213</c:v>
                </c:pt>
                <c:pt idx="168">
                  <c:v>124</c:v>
                </c:pt>
                <c:pt idx="169">
                  <c:v>133</c:v>
                </c:pt>
                <c:pt idx="170">
                  <c:v>318</c:v>
                </c:pt>
                <c:pt idx="171">
                  <c:v>88</c:v>
                </c:pt>
                <c:pt idx="172">
                  <c:v>158</c:v>
                </c:pt>
                <c:pt idx="173">
                  <c:v>338</c:v>
                </c:pt>
                <c:pt idx="174">
                  <c:v>360</c:v>
                </c:pt>
                <c:pt idx="175">
                  <c:v>220</c:v>
                </c:pt>
                <c:pt idx="176">
                  <c:v>172</c:v>
                </c:pt>
                <c:pt idx="177">
                  <c:v>244</c:v>
                </c:pt>
                <c:pt idx="178">
                  <c:v>98</c:v>
                </c:pt>
                <c:pt idx="179">
                  <c:v>269</c:v>
                </c:pt>
                <c:pt idx="180">
                  <c:v>173</c:v>
                </c:pt>
                <c:pt idx="181">
                  <c:v>208</c:v>
                </c:pt>
                <c:pt idx="182">
                  <c:v>192</c:v>
                </c:pt>
                <c:pt idx="183">
                  <c:v>235</c:v>
                </c:pt>
                <c:pt idx="184">
                  <c:v>201</c:v>
                </c:pt>
                <c:pt idx="185">
                  <c:v>343</c:v>
                </c:pt>
                <c:pt idx="186">
                  <c:v>257</c:v>
                </c:pt>
                <c:pt idx="187">
                  <c:v>136</c:v>
                </c:pt>
                <c:pt idx="188">
                  <c:v>146</c:v>
                </c:pt>
                <c:pt idx="189">
                  <c:v>290</c:v>
                </c:pt>
                <c:pt idx="190">
                  <c:v>230</c:v>
                </c:pt>
                <c:pt idx="191">
                  <c:v>458</c:v>
                </c:pt>
                <c:pt idx="192">
                  <c:v>64</c:v>
                </c:pt>
                <c:pt idx="193">
                  <c:v>236</c:v>
                </c:pt>
                <c:pt idx="194">
                  <c:v>113</c:v>
                </c:pt>
                <c:pt idx="195">
                  <c:v>64</c:v>
                </c:pt>
                <c:pt idx="196">
                  <c:v>374</c:v>
                </c:pt>
                <c:pt idx="197">
                  <c:v>205</c:v>
                </c:pt>
                <c:pt idx="198">
                  <c:v>78</c:v>
                </c:pt>
                <c:pt idx="199">
                  <c:v>124</c:v>
                </c:pt>
                <c:pt idx="200">
                  <c:v>193</c:v>
                </c:pt>
                <c:pt idx="201">
                  <c:v>237</c:v>
                </c:pt>
                <c:pt idx="202">
                  <c:v>88</c:v>
                </c:pt>
                <c:pt idx="203">
                  <c:v>399</c:v>
                </c:pt>
                <c:pt idx="204">
                  <c:v>307</c:v>
                </c:pt>
                <c:pt idx="205">
                  <c:v>367</c:v>
                </c:pt>
                <c:pt idx="206">
                  <c:v>107</c:v>
                </c:pt>
                <c:pt idx="207">
                  <c:v>71</c:v>
                </c:pt>
                <c:pt idx="208">
                  <c:v>145</c:v>
                </c:pt>
                <c:pt idx="209">
                  <c:v>174</c:v>
                </c:pt>
                <c:pt idx="210">
                  <c:v>199</c:v>
                </c:pt>
                <c:pt idx="211">
                  <c:v>338</c:v>
                </c:pt>
                <c:pt idx="212">
                  <c:v>211</c:v>
                </c:pt>
                <c:pt idx="213">
                  <c:v>122</c:v>
                </c:pt>
                <c:pt idx="214">
                  <c:v>364</c:v>
                </c:pt>
                <c:pt idx="215">
                  <c:v>148</c:v>
                </c:pt>
                <c:pt idx="216">
                  <c:v>148</c:v>
                </c:pt>
                <c:pt idx="217">
                  <c:v>119</c:v>
                </c:pt>
                <c:pt idx="218">
                  <c:v>389</c:v>
                </c:pt>
                <c:pt idx="219">
                  <c:v>116</c:v>
                </c:pt>
                <c:pt idx="220">
                  <c:v>398</c:v>
                </c:pt>
                <c:pt idx="221">
                  <c:v>434</c:v>
                </c:pt>
                <c:pt idx="222">
                  <c:v>367</c:v>
                </c:pt>
                <c:pt idx="223">
                  <c:v>446</c:v>
                </c:pt>
                <c:pt idx="224">
                  <c:v>471</c:v>
                </c:pt>
                <c:pt idx="225">
                  <c:v>89</c:v>
                </c:pt>
                <c:pt idx="226">
                  <c:v>242</c:v>
                </c:pt>
                <c:pt idx="227">
                  <c:v>492</c:v>
                </c:pt>
                <c:pt idx="228">
                  <c:v>461</c:v>
                </c:pt>
                <c:pt idx="229">
                  <c:v>102</c:v>
                </c:pt>
                <c:pt idx="230">
                  <c:v>212</c:v>
                </c:pt>
                <c:pt idx="231">
                  <c:v>214</c:v>
                </c:pt>
                <c:pt idx="232">
                  <c:v>65</c:v>
                </c:pt>
                <c:pt idx="233">
                  <c:v>90</c:v>
                </c:pt>
                <c:pt idx="234">
                  <c:v>362</c:v>
                </c:pt>
                <c:pt idx="235">
                  <c:v>469</c:v>
                </c:pt>
                <c:pt idx="236">
                  <c:v>303</c:v>
                </c:pt>
                <c:pt idx="237">
                  <c:v>325</c:v>
                </c:pt>
                <c:pt idx="238">
                  <c:v>97</c:v>
                </c:pt>
                <c:pt idx="239">
                  <c:v>116</c:v>
                </c:pt>
                <c:pt idx="240">
                  <c:v>103</c:v>
                </c:pt>
                <c:pt idx="241">
                  <c:v>157</c:v>
                </c:pt>
                <c:pt idx="242">
                  <c:v>293</c:v>
                </c:pt>
                <c:pt idx="243">
                  <c:v>75</c:v>
                </c:pt>
                <c:pt idx="244">
                  <c:v>226</c:v>
                </c:pt>
                <c:pt idx="245">
                  <c:v>166</c:v>
                </c:pt>
                <c:pt idx="246">
                  <c:v>355</c:v>
                </c:pt>
              </c:numCache>
            </c:numRef>
          </c:xVal>
          <c:yVal>
            <c:numRef>
              <c:f>results_complex_200!$M$2:$M$248</c:f>
              <c:numCache>
                <c:formatCode>General</c:formatCode>
                <c:ptCount val="247"/>
                <c:pt idx="0">
                  <c:v>54.339999999999897</c:v>
                </c:pt>
                <c:pt idx="1">
                  <c:v>48.63</c:v>
                </c:pt>
                <c:pt idx="2">
                  <c:v>54.64</c:v>
                </c:pt>
                <c:pt idx="3">
                  <c:v>51.349999999999902</c:v>
                </c:pt>
                <c:pt idx="4">
                  <c:v>52.53</c:v>
                </c:pt>
                <c:pt idx="5">
                  <c:v>52.37</c:v>
                </c:pt>
                <c:pt idx="6">
                  <c:v>53.769999999999897</c:v>
                </c:pt>
                <c:pt idx="7">
                  <c:v>52.03</c:v>
                </c:pt>
                <c:pt idx="8">
                  <c:v>52.3599999999999</c:v>
                </c:pt>
                <c:pt idx="9">
                  <c:v>54.79</c:v>
                </c:pt>
                <c:pt idx="10">
                  <c:v>51.59</c:v>
                </c:pt>
                <c:pt idx="11">
                  <c:v>52.1</c:v>
                </c:pt>
                <c:pt idx="12">
                  <c:v>51.18</c:v>
                </c:pt>
                <c:pt idx="13">
                  <c:v>53</c:v>
                </c:pt>
                <c:pt idx="14">
                  <c:v>54.51</c:v>
                </c:pt>
                <c:pt idx="15">
                  <c:v>53.33</c:v>
                </c:pt>
                <c:pt idx="16">
                  <c:v>53.98</c:v>
                </c:pt>
                <c:pt idx="17">
                  <c:v>31.319999999999901</c:v>
                </c:pt>
                <c:pt idx="18">
                  <c:v>51.92</c:v>
                </c:pt>
                <c:pt idx="19">
                  <c:v>46.2</c:v>
                </c:pt>
                <c:pt idx="20">
                  <c:v>54.12</c:v>
                </c:pt>
                <c:pt idx="21">
                  <c:v>51.89</c:v>
                </c:pt>
                <c:pt idx="22">
                  <c:v>34.15</c:v>
                </c:pt>
                <c:pt idx="23">
                  <c:v>52.23</c:v>
                </c:pt>
                <c:pt idx="24">
                  <c:v>47.13</c:v>
                </c:pt>
                <c:pt idx="25">
                  <c:v>54.279999999999902</c:v>
                </c:pt>
                <c:pt idx="26">
                  <c:v>45.86</c:v>
                </c:pt>
                <c:pt idx="27">
                  <c:v>49.98</c:v>
                </c:pt>
                <c:pt idx="28">
                  <c:v>53.66</c:v>
                </c:pt>
                <c:pt idx="29">
                  <c:v>55.42</c:v>
                </c:pt>
                <c:pt idx="30">
                  <c:v>53.65</c:v>
                </c:pt>
                <c:pt idx="31">
                  <c:v>55.75</c:v>
                </c:pt>
                <c:pt idx="32">
                  <c:v>55.059999999999903</c:v>
                </c:pt>
                <c:pt idx="33">
                  <c:v>51.339999999999897</c:v>
                </c:pt>
                <c:pt idx="34">
                  <c:v>50.73</c:v>
                </c:pt>
                <c:pt idx="35">
                  <c:v>52.62</c:v>
                </c:pt>
                <c:pt idx="36">
                  <c:v>54.9</c:v>
                </c:pt>
                <c:pt idx="37">
                  <c:v>49.73</c:v>
                </c:pt>
                <c:pt idx="38">
                  <c:v>54.669999999999902</c:v>
                </c:pt>
                <c:pt idx="39">
                  <c:v>53.59</c:v>
                </c:pt>
                <c:pt idx="40">
                  <c:v>51.98</c:v>
                </c:pt>
                <c:pt idx="41">
                  <c:v>51.129999999999903</c:v>
                </c:pt>
                <c:pt idx="42">
                  <c:v>48.67</c:v>
                </c:pt>
                <c:pt idx="43">
                  <c:v>51.59</c:v>
                </c:pt>
                <c:pt idx="44">
                  <c:v>50.66</c:v>
                </c:pt>
                <c:pt idx="45">
                  <c:v>55.32</c:v>
                </c:pt>
                <c:pt idx="46">
                  <c:v>49.68</c:v>
                </c:pt>
                <c:pt idx="47">
                  <c:v>39.589999999999897</c:v>
                </c:pt>
                <c:pt idx="48">
                  <c:v>47.43</c:v>
                </c:pt>
                <c:pt idx="49">
                  <c:v>52.29</c:v>
                </c:pt>
                <c:pt idx="50">
                  <c:v>53.23</c:v>
                </c:pt>
                <c:pt idx="51">
                  <c:v>54.61</c:v>
                </c:pt>
                <c:pt idx="52">
                  <c:v>55.37</c:v>
                </c:pt>
                <c:pt idx="53">
                  <c:v>50.42</c:v>
                </c:pt>
                <c:pt idx="54">
                  <c:v>51.449999999999903</c:v>
                </c:pt>
                <c:pt idx="55">
                  <c:v>51.49</c:v>
                </c:pt>
                <c:pt idx="56">
                  <c:v>51.4</c:v>
                </c:pt>
                <c:pt idx="57">
                  <c:v>53.169999999999902</c:v>
                </c:pt>
                <c:pt idx="58">
                  <c:v>17.02</c:v>
                </c:pt>
                <c:pt idx="59">
                  <c:v>47.74</c:v>
                </c:pt>
                <c:pt idx="60">
                  <c:v>54.87</c:v>
                </c:pt>
                <c:pt idx="61">
                  <c:v>53.03</c:v>
                </c:pt>
                <c:pt idx="62">
                  <c:v>52.76</c:v>
                </c:pt>
                <c:pt idx="63">
                  <c:v>54.02</c:v>
                </c:pt>
                <c:pt idx="64">
                  <c:v>53.82</c:v>
                </c:pt>
                <c:pt idx="65">
                  <c:v>47.43</c:v>
                </c:pt>
                <c:pt idx="66">
                  <c:v>46.339999999999897</c:v>
                </c:pt>
                <c:pt idx="67">
                  <c:v>52.88</c:v>
                </c:pt>
                <c:pt idx="68">
                  <c:v>53.239999999999903</c:v>
                </c:pt>
                <c:pt idx="69">
                  <c:v>52.61</c:v>
                </c:pt>
                <c:pt idx="70">
                  <c:v>50.36</c:v>
                </c:pt>
                <c:pt idx="71">
                  <c:v>54.37</c:v>
                </c:pt>
                <c:pt idx="72">
                  <c:v>54.36</c:v>
                </c:pt>
                <c:pt idx="73">
                  <c:v>48.42</c:v>
                </c:pt>
                <c:pt idx="74">
                  <c:v>54.35</c:v>
                </c:pt>
                <c:pt idx="75">
                  <c:v>55.19</c:v>
                </c:pt>
                <c:pt idx="76">
                  <c:v>41.65</c:v>
                </c:pt>
                <c:pt idx="77">
                  <c:v>52.2</c:v>
                </c:pt>
                <c:pt idx="78">
                  <c:v>54.63</c:v>
                </c:pt>
                <c:pt idx="79">
                  <c:v>49.55</c:v>
                </c:pt>
                <c:pt idx="80">
                  <c:v>54.2</c:v>
                </c:pt>
                <c:pt idx="81">
                  <c:v>55.4</c:v>
                </c:pt>
                <c:pt idx="82">
                  <c:v>50.49</c:v>
                </c:pt>
                <c:pt idx="83">
                  <c:v>53.63</c:v>
                </c:pt>
                <c:pt idx="84">
                  <c:v>54.11</c:v>
                </c:pt>
                <c:pt idx="85">
                  <c:v>52.26</c:v>
                </c:pt>
                <c:pt idx="86">
                  <c:v>54.25</c:v>
                </c:pt>
                <c:pt idx="87">
                  <c:v>53.949999999999903</c:v>
                </c:pt>
                <c:pt idx="88">
                  <c:v>54.92</c:v>
                </c:pt>
                <c:pt idx="89">
                  <c:v>54.75</c:v>
                </c:pt>
                <c:pt idx="90">
                  <c:v>50.349999999999902</c:v>
                </c:pt>
                <c:pt idx="91">
                  <c:v>54.89</c:v>
                </c:pt>
                <c:pt idx="92">
                  <c:v>51.91</c:v>
                </c:pt>
                <c:pt idx="93">
                  <c:v>52.569999999999901</c:v>
                </c:pt>
                <c:pt idx="94">
                  <c:v>48.63</c:v>
                </c:pt>
                <c:pt idx="95">
                  <c:v>55.04</c:v>
                </c:pt>
                <c:pt idx="96">
                  <c:v>52.6</c:v>
                </c:pt>
                <c:pt idx="97">
                  <c:v>52.47</c:v>
                </c:pt>
                <c:pt idx="98">
                  <c:v>55.02</c:v>
                </c:pt>
                <c:pt idx="99">
                  <c:v>48.24</c:v>
                </c:pt>
                <c:pt idx="100">
                  <c:v>48.77</c:v>
                </c:pt>
                <c:pt idx="101">
                  <c:v>51.66</c:v>
                </c:pt>
                <c:pt idx="102">
                  <c:v>45.23</c:v>
                </c:pt>
                <c:pt idx="103">
                  <c:v>55.36</c:v>
                </c:pt>
                <c:pt idx="104">
                  <c:v>54.449999999999903</c:v>
                </c:pt>
                <c:pt idx="105">
                  <c:v>44.08</c:v>
                </c:pt>
                <c:pt idx="106">
                  <c:v>54.65</c:v>
                </c:pt>
                <c:pt idx="107">
                  <c:v>40.33</c:v>
                </c:pt>
                <c:pt idx="108">
                  <c:v>49.81</c:v>
                </c:pt>
                <c:pt idx="109">
                  <c:v>52.769999999999897</c:v>
                </c:pt>
                <c:pt idx="110">
                  <c:v>49.86</c:v>
                </c:pt>
                <c:pt idx="111">
                  <c:v>43.21</c:v>
                </c:pt>
                <c:pt idx="112">
                  <c:v>48.58</c:v>
                </c:pt>
                <c:pt idx="113">
                  <c:v>50.91</c:v>
                </c:pt>
                <c:pt idx="114">
                  <c:v>55.089999999999897</c:v>
                </c:pt>
                <c:pt idx="115">
                  <c:v>46.88</c:v>
                </c:pt>
                <c:pt idx="116">
                  <c:v>54.84</c:v>
                </c:pt>
                <c:pt idx="117">
                  <c:v>52.58</c:v>
                </c:pt>
                <c:pt idx="118">
                  <c:v>53.44</c:v>
                </c:pt>
                <c:pt idx="119">
                  <c:v>53.39</c:v>
                </c:pt>
                <c:pt idx="120">
                  <c:v>53.42</c:v>
                </c:pt>
                <c:pt idx="121">
                  <c:v>45.37</c:v>
                </c:pt>
                <c:pt idx="122">
                  <c:v>49.559999999999903</c:v>
                </c:pt>
                <c:pt idx="123">
                  <c:v>52.51</c:v>
                </c:pt>
                <c:pt idx="124">
                  <c:v>48.87</c:v>
                </c:pt>
                <c:pt idx="125">
                  <c:v>52.78</c:v>
                </c:pt>
                <c:pt idx="126">
                  <c:v>52.83</c:v>
                </c:pt>
                <c:pt idx="127">
                  <c:v>46.85</c:v>
                </c:pt>
                <c:pt idx="128">
                  <c:v>47.339999999999897</c:v>
                </c:pt>
                <c:pt idx="129">
                  <c:v>52.66</c:v>
                </c:pt>
                <c:pt idx="130">
                  <c:v>43.07</c:v>
                </c:pt>
                <c:pt idx="131">
                  <c:v>53.73</c:v>
                </c:pt>
                <c:pt idx="132">
                  <c:v>19.91</c:v>
                </c:pt>
                <c:pt idx="133">
                  <c:v>53.51</c:v>
                </c:pt>
                <c:pt idx="134">
                  <c:v>50.01</c:v>
                </c:pt>
                <c:pt idx="135">
                  <c:v>45.56</c:v>
                </c:pt>
                <c:pt idx="136">
                  <c:v>45.55</c:v>
                </c:pt>
                <c:pt idx="137">
                  <c:v>55.089999999999897</c:v>
                </c:pt>
                <c:pt idx="138">
                  <c:v>43.8</c:v>
                </c:pt>
                <c:pt idx="139">
                  <c:v>54.59</c:v>
                </c:pt>
                <c:pt idx="140">
                  <c:v>52.18</c:v>
                </c:pt>
                <c:pt idx="141">
                  <c:v>54.42</c:v>
                </c:pt>
                <c:pt idx="142">
                  <c:v>54.559999999999903</c:v>
                </c:pt>
                <c:pt idx="143">
                  <c:v>55.61</c:v>
                </c:pt>
                <c:pt idx="144">
                  <c:v>52.43</c:v>
                </c:pt>
                <c:pt idx="145">
                  <c:v>55.32</c:v>
                </c:pt>
                <c:pt idx="146">
                  <c:v>51.18</c:v>
                </c:pt>
                <c:pt idx="147">
                  <c:v>52.25</c:v>
                </c:pt>
                <c:pt idx="148">
                  <c:v>53.7</c:v>
                </c:pt>
                <c:pt idx="149">
                  <c:v>54.65</c:v>
                </c:pt>
                <c:pt idx="150">
                  <c:v>55.489999999999903</c:v>
                </c:pt>
                <c:pt idx="151">
                  <c:v>55.2</c:v>
                </c:pt>
                <c:pt idx="152">
                  <c:v>38.5</c:v>
                </c:pt>
                <c:pt idx="153">
                  <c:v>18.850000000000001</c:v>
                </c:pt>
                <c:pt idx="154">
                  <c:v>45.44</c:v>
                </c:pt>
                <c:pt idx="155">
                  <c:v>53.99</c:v>
                </c:pt>
                <c:pt idx="156">
                  <c:v>52.11</c:v>
                </c:pt>
                <c:pt idx="157">
                  <c:v>45.91</c:v>
                </c:pt>
                <c:pt idx="158">
                  <c:v>55.089999999999897</c:v>
                </c:pt>
                <c:pt idx="159">
                  <c:v>52.949999999999903</c:v>
                </c:pt>
                <c:pt idx="160">
                  <c:v>54.1799999999999</c:v>
                </c:pt>
                <c:pt idx="161">
                  <c:v>54.87</c:v>
                </c:pt>
                <c:pt idx="162">
                  <c:v>54.37</c:v>
                </c:pt>
                <c:pt idx="163">
                  <c:v>52.15</c:v>
                </c:pt>
                <c:pt idx="164">
                  <c:v>55.7</c:v>
                </c:pt>
                <c:pt idx="165">
                  <c:v>49.47</c:v>
                </c:pt>
                <c:pt idx="166">
                  <c:v>49.19</c:v>
                </c:pt>
                <c:pt idx="167">
                  <c:v>47.599999999999902</c:v>
                </c:pt>
                <c:pt idx="168">
                  <c:v>52.72</c:v>
                </c:pt>
                <c:pt idx="169">
                  <c:v>53.069999999999901</c:v>
                </c:pt>
                <c:pt idx="170">
                  <c:v>55.16</c:v>
                </c:pt>
                <c:pt idx="171">
                  <c:v>53.19</c:v>
                </c:pt>
                <c:pt idx="172">
                  <c:v>50.8</c:v>
                </c:pt>
                <c:pt idx="173">
                  <c:v>53.41</c:v>
                </c:pt>
                <c:pt idx="174">
                  <c:v>53.76</c:v>
                </c:pt>
                <c:pt idx="175">
                  <c:v>51.66</c:v>
                </c:pt>
                <c:pt idx="176">
                  <c:v>54.69</c:v>
                </c:pt>
                <c:pt idx="177">
                  <c:v>51.97</c:v>
                </c:pt>
                <c:pt idx="178">
                  <c:v>53.33</c:v>
                </c:pt>
                <c:pt idx="179">
                  <c:v>53.71</c:v>
                </c:pt>
                <c:pt idx="180">
                  <c:v>42.089999999999897</c:v>
                </c:pt>
                <c:pt idx="181">
                  <c:v>49.49</c:v>
                </c:pt>
                <c:pt idx="182">
                  <c:v>51.6</c:v>
                </c:pt>
                <c:pt idx="183">
                  <c:v>52.11</c:v>
                </c:pt>
                <c:pt idx="184">
                  <c:v>52.72</c:v>
                </c:pt>
                <c:pt idx="185">
                  <c:v>54.26</c:v>
                </c:pt>
                <c:pt idx="186">
                  <c:v>53.5</c:v>
                </c:pt>
                <c:pt idx="187">
                  <c:v>45.9</c:v>
                </c:pt>
                <c:pt idx="188">
                  <c:v>53.23</c:v>
                </c:pt>
                <c:pt idx="189">
                  <c:v>53.08</c:v>
                </c:pt>
                <c:pt idx="190">
                  <c:v>54.41</c:v>
                </c:pt>
                <c:pt idx="191">
                  <c:v>53.239999999999903</c:v>
                </c:pt>
                <c:pt idx="192">
                  <c:v>54.98</c:v>
                </c:pt>
                <c:pt idx="193">
                  <c:v>54.6</c:v>
                </c:pt>
                <c:pt idx="194">
                  <c:v>54.22</c:v>
                </c:pt>
                <c:pt idx="195">
                  <c:v>33.39</c:v>
                </c:pt>
                <c:pt idx="196">
                  <c:v>52.019999999999897</c:v>
                </c:pt>
                <c:pt idx="197">
                  <c:v>53.89</c:v>
                </c:pt>
                <c:pt idx="198">
                  <c:v>44.68</c:v>
                </c:pt>
                <c:pt idx="199">
                  <c:v>51.71</c:v>
                </c:pt>
                <c:pt idx="200">
                  <c:v>52.949999999999903</c:v>
                </c:pt>
                <c:pt idx="201">
                  <c:v>54.8</c:v>
                </c:pt>
                <c:pt idx="202">
                  <c:v>43.1</c:v>
                </c:pt>
                <c:pt idx="203">
                  <c:v>54.42</c:v>
                </c:pt>
                <c:pt idx="204">
                  <c:v>54.1</c:v>
                </c:pt>
                <c:pt idx="205">
                  <c:v>52.449999999999903</c:v>
                </c:pt>
                <c:pt idx="206">
                  <c:v>52.3</c:v>
                </c:pt>
                <c:pt idx="207">
                  <c:v>52.19</c:v>
                </c:pt>
                <c:pt idx="208">
                  <c:v>55.059999999999903</c:v>
                </c:pt>
                <c:pt idx="209">
                  <c:v>48.87</c:v>
                </c:pt>
                <c:pt idx="210">
                  <c:v>31</c:v>
                </c:pt>
                <c:pt idx="211">
                  <c:v>55.24</c:v>
                </c:pt>
                <c:pt idx="212">
                  <c:v>54.02</c:v>
                </c:pt>
                <c:pt idx="213">
                  <c:v>51.87</c:v>
                </c:pt>
                <c:pt idx="214">
                  <c:v>53.459999999999901</c:v>
                </c:pt>
                <c:pt idx="215">
                  <c:v>45.68</c:v>
                </c:pt>
                <c:pt idx="216">
                  <c:v>46.25</c:v>
                </c:pt>
                <c:pt idx="217">
                  <c:v>51.259999999999899</c:v>
                </c:pt>
                <c:pt idx="218">
                  <c:v>54.13</c:v>
                </c:pt>
                <c:pt idx="219">
                  <c:v>54.669999999999902</c:v>
                </c:pt>
                <c:pt idx="220">
                  <c:v>51.87</c:v>
                </c:pt>
                <c:pt idx="221">
                  <c:v>49.45</c:v>
                </c:pt>
                <c:pt idx="222">
                  <c:v>54.6</c:v>
                </c:pt>
                <c:pt idx="223">
                  <c:v>50.61</c:v>
                </c:pt>
                <c:pt idx="224">
                  <c:v>55.6</c:v>
                </c:pt>
                <c:pt idx="225">
                  <c:v>53.58</c:v>
                </c:pt>
                <c:pt idx="226">
                  <c:v>54.09</c:v>
                </c:pt>
                <c:pt idx="227">
                  <c:v>52.81</c:v>
                </c:pt>
                <c:pt idx="228">
                  <c:v>44.84</c:v>
                </c:pt>
                <c:pt idx="229">
                  <c:v>51.44</c:v>
                </c:pt>
                <c:pt idx="230">
                  <c:v>52.55</c:v>
                </c:pt>
                <c:pt idx="231">
                  <c:v>53.01</c:v>
                </c:pt>
                <c:pt idx="232">
                  <c:v>50.61</c:v>
                </c:pt>
                <c:pt idx="233">
                  <c:v>54.92</c:v>
                </c:pt>
                <c:pt idx="234">
                  <c:v>50.77</c:v>
                </c:pt>
                <c:pt idx="235">
                  <c:v>47.06</c:v>
                </c:pt>
                <c:pt idx="236">
                  <c:v>54.14</c:v>
                </c:pt>
                <c:pt idx="237">
                  <c:v>54.059999999999903</c:v>
                </c:pt>
                <c:pt idx="238">
                  <c:v>51.28</c:v>
                </c:pt>
                <c:pt idx="239">
                  <c:v>54.4</c:v>
                </c:pt>
                <c:pt idx="240">
                  <c:v>53.41</c:v>
                </c:pt>
                <c:pt idx="241">
                  <c:v>53.58</c:v>
                </c:pt>
                <c:pt idx="242">
                  <c:v>55</c:v>
                </c:pt>
                <c:pt idx="243">
                  <c:v>46.01</c:v>
                </c:pt>
                <c:pt idx="244">
                  <c:v>16.52</c:v>
                </c:pt>
                <c:pt idx="245">
                  <c:v>54.7</c:v>
                </c:pt>
                <c:pt idx="246">
                  <c:v>54.24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BD-4287-9582-CF0AA93A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91072"/>
        <c:axId val="201877152"/>
      </c:scatterChart>
      <c:valAx>
        <c:axId val="201891072"/>
        <c:scaling>
          <c:logBase val="2"/>
          <c:orientation val="minMax"/>
          <c:min val="6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7152"/>
        <c:crosses val="autoZero"/>
        <c:crossBetween val="midCat"/>
      </c:valAx>
      <c:valAx>
        <c:axId val="2018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 Accuracy</a:t>
            </a:r>
            <a:r>
              <a:rPr lang="cs-CZ"/>
              <a:t> vs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results_complex_200!$M$1</c:f>
              <c:strCache>
                <c:ptCount val="1"/>
                <c:pt idx="0">
                  <c:v>Val 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results_complex_200!$L$2:$L$248</c:f>
              <c:numCache>
                <c:formatCode>General</c:formatCode>
                <c:ptCount val="247"/>
                <c:pt idx="0">
                  <c:v>63.14</c:v>
                </c:pt>
                <c:pt idx="1">
                  <c:v>457.19</c:v>
                </c:pt>
                <c:pt idx="2">
                  <c:v>60.56</c:v>
                </c:pt>
                <c:pt idx="3">
                  <c:v>61.44</c:v>
                </c:pt>
                <c:pt idx="4">
                  <c:v>99.3</c:v>
                </c:pt>
                <c:pt idx="5">
                  <c:v>83.71</c:v>
                </c:pt>
                <c:pt idx="6">
                  <c:v>69.03</c:v>
                </c:pt>
                <c:pt idx="7">
                  <c:v>91.57</c:v>
                </c:pt>
                <c:pt idx="8">
                  <c:v>68.97</c:v>
                </c:pt>
                <c:pt idx="9">
                  <c:v>175.97</c:v>
                </c:pt>
                <c:pt idx="10">
                  <c:v>211.26</c:v>
                </c:pt>
                <c:pt idx="11">
                  <c:v>176.48</c:v>
                </c:pt>
                <c:pt idx="12">
                  <c:v>285.51</c:v>
                </c:pt>
                <c:pt idx="13">
                  <c:v>112.25</c:v>
                </c:pt>
                <c:pt idx="14">
                  <c:v>71.709999999999994</c:v>
                </c:pt>
                <c:pt idx="15">
                  <c:v>89.87</c:v>
                </c:pt>
                <c:pt idx="16">
                  <c:v>141.88</c:v>
                </c:pt>
                <c:pt idx="17">
                  <c:v>495.73</c:v>
                </c:pt>
                <c:pt idx="18">
                  <c:v>210.31</c:v>
                </c:pt>
                <c:pt idx="19">
                  <c:v>447.39</c:v>
                </c:pt>
                <c:pt idx="20">
                  <c:v>106.92</c:v>
                </c:pt>
                <c:pt idx="21">
                  <c:v>73.42</c:v>
                </c:pt>
                <c:pt idx="22">
                  <c:v>369.29</c:v>
                </c:pt>
                <c:pt idx="23">
                  <c:v>637.76</c:v>
                </c:pt>
                <c:pt idx="24">
                  <c:v>350.29</c:v>
                </c:pt>
                <c:pt idx="25">
                  <c:v>96.8</c:v>
                </c:pt>
                <c:pt idx="26">
                  <c:v>189.21</c:v>
                </c:pt>
                <c:pt idx="27">
                  <c:v>77.47</c:v>
                </c:pt>
                <c:pt idx="28">
                  <c:v>110.09</c:v>
                </c:pt>
                <c:pt idx="29">
                  <c:v>229.07</c:v>
                </c:pt>
                <c:pt idx="30">
                  <c:v>76.41</c:v>
                </c:pt>
                <c:pt idx="31">
                  <c:v>108.21</c:v>
                </c:pt>
                <c:pt idx="32">
                  <c:v>288.31</c:v>
                </c:pt>
                <c:pt idx="33">
                  <c:v>176.17</c:v>
                </c:pt>
                <c:pt idx="34">
                  <c:v>95.32</c:v>
                </c:pt>
                <c:pt idx="35">
                  <c:v>111.9</c:v>
                </c:pt>
                <c:pt idx="36">
                  <c:v>119.12</c:v>
                </c:pt>
                <c:pt idx="37">
                  <c:v>65.52</c:v>
                </c:pt>
                <c:pt idx="38">
                  <c:v>93.76</c:v>
                </c:pt>
                <c:pt idx="39">
                  <c:v>77.88</c:v>
                </c:pt>
                <c:pt idx="40">
                  <c:v>146.21</c:v>
                </c:pt>
                <c:pt idx="41">
                  <c:v>98.16</c:v>
                </c:pt>
                <c:pt idx="42">
                  <c:v>66.14</c:v>
                </c:pt>
                <c:pt idx="43">
                  <c:v>82.88</c:v>
                </c:pt>
                <c:pt idx="44">
                  <c:v>73.02</c:v>
                </c:pt>
                <c:pt idx="45">
                  <c:v>164.34</c:v>
                </c:pt>
                <c:pt idx="46">
                  <c:v>168.23</c:v>
                </c:pt>
                <c:pt idx="47">
                  <c:v>57.5</c:v>
                </c:pt>
                <c:pt idx="48">
                  <c:v>123.08</c:v>
                </c:pt>
                <c:pt idx="49">
                  <c:v>97.51</c:v>
                </c:pt>
                <c:pt idx="50">
                  <c:v>44.87</c:v>
                </c:pt>
                <c:pt idx="51">
                  <c:v>382.02</c:v>
                </c:pt>
                <c:pt idx="52">
                  <c:v>162.69</c:v>
                </c:pt>
                <c:pt idx="53">
                  <c:v>137.16</c:v>
                </c:pt>
                <c:pt idx="54">
                  <c:v>134.6</c:v>
                </c:pt>
                <c:pt idx="55">
                  <c:v>62.01</c:v>
                </c:pt>
                <c:pt idx="56">
                  <c:v>237.81</c:v>
                </c:pt>
                <c:pt idx="57">
                  <c:v>93.77</c:v>
                </c:pt>
                <c:pt idx="58">
                  <c:v>182.15</c:v>
                </c:pt>
                <c:pt idx="59">
                  <c:v>100.54</c:v>
                </c:pt>
                <c:pt idx="60">
                  <c:v>148</c:v>
                </c:pt>
                <c:pt idx="61">
                  <c:v>82.57</c:v>
                </c:pt>
                <c:pt idx="62">
                  <c:v>124.43</c:v>
                </c:pt>
                <c:pt idx="63">
                  <c:v>62.19</c:v>
                </c:pt>
                <c:pt idx="64">
                  <c:v>271.64999999999998</c:v>
                </c:pt>
                <c:pt idx="65">
                  <c:v>41.37</c:v>
                </c:pt>
                <c:pt idx="66">
                  <c:v>101.73</c:v>
                </c:pt>
                <c:pt idx="67">
                  <c:v>228.14</c:v>
                </c:pt>
                <c:pt idx="68">
                  <c:v>57.09</c:v>
                </c:pt>
                <c:pt idx="69">
                  <c:v>92.5</c:v>
                </c:pt>
                <c:pt idx="70">
                  <c:v>42.9</c:v>
                </c:pt>
                <c:pt idx="71">
                  <c:v>61.4</c:v>
                </c:pt>
                <c:pt idx="72">
                  <c:v>275.87</c:v>
                </c:pt>
                <c:pt idx="73">
                  <c:v>99.3</c:v>
                </c:pt>
                <c:pt idx="74">
                  <c:v>110.94</c:v>
                </c:pt>
                <c:pt idx="75">
                  <c:v>57.23</c:v>
                </c:pt>
                <c:pt idx="76">
                  <c:v>39.5</c:v>
                </c:pt>
                <c:pt idx="77">
                  <c:v>50.32</c:v>
                </c:pt>
                <c:pt idx="78">
                  <c:v>76.23</c:v>
                </c:pt>
                <c:pt idx="79">
                  <c:v>83.26</c:v>
                </c:pt>
                <c:pt idx="80">
                  <c:v>123.26</c:v>
                </c:pt>
                <c:pt idx="81">
                  <c:v>604.05999999999995</c:v>
                </c:pt>
                <c:pt idx="82">
                  <c:v>175.75</c:v>
                </c:pt>
                <c:pt idx="83">
                  <c:v>145.96</c:v>
                </c:pt>
                <c:pt idx="84">
                  <c:v>118.84</c:v>
                </c:pt>
                <c:pt idx="85">
                  <c:v>65.69</c:v>
                </c:pt>
                <c:pt idx="86">
                  <c:v>66.87</c:v>
                </c:pt>
                <c:pt idx="87">
                  <c:v>109.79</c:v>
                </c:pt>
                <c:pt idx="88">
                  <c:v>88.92</c:v>
                </c:pt>
                <c:pt idx="89">
                  <c:v>284.36</c:v>
                </c:pt>
                <c:pt idx="90">
                  <c:v>104.4</c:v>
                </c:pt>
                <c:pt idx="91">
                  <c:v>90.12</c:v>
                </c:pt>
                <c:pt idx="92">
                  <c:v>113.34</c:v>
                </c:pt>
                <c:pt idx="93">
                  <c:v>57.39</c:v>
                </c:pt>
                <c:pt idx="94">
                  <c:v>47.78</c:v>
                </c:pt>
                <c:pt idx="95">
                  <c:v>55.56</c:v>
                </c:pt>
                <c:pt idx="96">
                  <c:v>53.26</c:v>
                </c:pt>
                <c:pt idx="97">
                  <c:v>105.28</c:v>
                </c:pt>
                <c:pt idx="98">
                  <c:v>146.69999999999999</c:v>
                </c:pt>
                <c:pt idx="99">
                  <c:v>499.17</c:v>
                </c:pt>
                <c:pt idx="100">
                  <c:v>61.44</c:v>
                </c:pt>
                <c:pt idx="101">
                  <c:v>121.09</c:v>
                </c:pt>
                <c:pt idx="102">
                  <c:v>223.93</c:v>
                </c:pt>
                <c:pt idx="103">
                  <c:v>96.46</c:v>
                </c:pt>
                <c:pt idx="104">
                  <c:v>61.83</c:v>
                </c:pt>
                <c:pt idx="105">
                  <c:v>67.61</c:v>
                </c:pt>
                <c:pt idx="106">
                  <c:v>224.08</c:v>
                </c:pt>
                <c:pt idx="107">
                  <c:v>132.65</c:v>
                </c:pt>
                <c:pt idx="108">
                  <c:v>97.1</c:v>
                </c:pt>
                <c:pt idx="109">
                  <c:v>65.84</c:v>
                </c:pt>
                <c:pt idx="110">
                  <c:v>267.43</c:v>
                </c:pt>
                <c:pt idx="111">
                  <c:v>123.5</c:v>
                </c:pt>
                <c:pt idx="112">
                  <c:v>252.32</c:v>
                </c:pt>
                <c:pt idx="113">
                  <c:v>74.8</c:v>
                </c:pt>
                <c:pt idx="114">
                  <c:v>92.01</c:v>
                </c:pt>
                <c:pt idx="115">
                  <c:v>71.430000000000007</c:v>
                </c:pt>
                <c:pt idx="116">
                  <c:v>103.38</c:v>
                </c:pt>
                <c:pt idx="117">
                  <c:v>136.93</c:v>
                </c:pt>
                <c:pt idx="118">
                  <c:v>60.84</c:v>
                </c:pt>
                <c:pt idx="119">
                  <c:v>141.29</c:v>
                </c:pt>
                <c:pt idx="120">
                  <c:v>583.45000000000005</c:v>
                </c:pt>
                <c:pt idx="121">
                  <c:v>61.55</c:v>
                </c:pt>
                <c:pt idx="122">
                  <c:v>90.9</c:v>
                </c:pt>
                <c:pt idx="123">
                  <c:v>124.22</c:v>
                </c:pt>
                <c:pt idx="124">
                  <c:v>77.010000000000005</c:v>
                </c:pt>
                <c:pt idx="125">
                  <c:v>221.42</c:v>
                </c:pt>
                <c:pt idx="126">
                  <c:v>82.55</c:v>
                </c:pt>
                <c:pt idx="127">
                  <c:v>60.28</c:v>
                </c:pt>
                <c:pt idx="128">
                  <c:v>248.25</c:v>
                </c:pt>
                <c:pt idx="129">
                  <c:v>135.82</c:v>
                </c:pt>
                <c:pt idx="130">
                  <c:v>130.44999999999999</c:v>
                </c:pt>
                <c:pt idx="131">
                  <c:v>146.91</c:v>
                </c:pt>
                <c:pt idx="132">
                  <c:v>60.28</c:v>
                </c:pt>
                <c:pt idx="133">
                  <c:v>163.22999999999999</c:v>
                </c:pt>
                <c:pt idx="134">
                  <c:v>46.13</c:v>
                </c:pt>
                <c:pt idx="135">
                  <c:v>107.01</c:v>
                </c:pt>
                <c:pt idx="136">
                  <c:v>143.91</c:v>
                </c:pt>
                <c:pt idx="137">
                  <c:v>73.75</c:v>
                </c:pt>
                <c:pt idx="138">
                  <c:v>68.150000000000006</c:v>
                </c:pt>
                <c:pt idx="139">
                  <c:v>161.99</c:v>
                </c:pt>
                <c:pt idx="140">
                  <c:v>56.26</c:v>
                </c:pt>
                <c:pt idx="141">
                  <c:v>63.42</c:v>
                </c:pt>
                <c:pt idx="142">
                  <c:v>262.20999999999998</c:v>
                </c:pt>
                <c:pt idx="143">
                  <c:v>161.57</c:v>
                </c:pt>
                <c:pt idx="144">
                  <c:v>57.36</c:v>
                </c:pt>
                <c:pt idx="145">
                  <c:v>91.94</c:v>
                </c:pt>
                <c:pt idx="146">
                  <c:v>107.87</c:v>
                </c:pt>
                <c:pt idx="147">
                  <c:v>68.77</c:v>
                </c:pt>
                <c:pt idx="148">
                  <c:v>73.040000000000006</c:v>
                </c:pt>
                <c:pt idx="149">
                  <c:v>179.28</c:v>
                </c:pt>
                <c:pt idx="150">
                  <c:v>87.98</c:v>
                </c:pt>
                <c:pt idx="151">
                  <c:v>69.010000000000005</c:v>
                </c:pt>
                <c:pt idx="152">
                  <c:v>153.49</c:v>
                </c:pt>
                <c:pt idx="153">
                  <c:v>190.08</c:v>
                </c:pt>
                <c:pt idx="154">
                  <c:v>104.72</c:v>
                </c:pt>
                <c:pt idx="155">
                  <c:v>163.06</c:v>
                </c:pt>
                <c:pt idx="156">
                  <c:v>93.35</c:v>
                </c:pt>
                <c:pt idx="157">
                  <c:v>64.81</c:v>
                </c:pt>
                <c:pt idx="158">
                  <c:v>72.58</c:v>
                </c:pt>
                <c:pt idx="159">
                  <c:v>108.64</c:v>
                </c:pt>
                <c:pt idx="160">
                  <c:v>103.37</c:v>
                </c:pt>
                <c:pt idx="161">
                  <c:v>61.9</c:v>
                </c:pt>
                <c:pt idx="162">
                  <c:v>120.92</c:v>
                </c:pt>
                <c:pt idx="163">
                  <c:v>53.55</c:v>
                </c:pt>
                <c:pt idx="164">
                  <c:v>131.57</c:v>
                </c:pt>
                <c:pt idx="165">
                  <c:v>113.72</c:v>
                </c:pt>
                <c:pt idx="166">
                  <c:v>55.04</c:v>
                </c:pt>
                <c:pt idx="167">
                  <c:v>42.36</c:v>
                </c:pt>
                <c:pt idx="168">
                  <c:v>61.61</c:v>
                </c:pt>
                <c:pt idx="169">
                  <c:v>62.57</c:v>
                </c:pt>
                <c:pt idx="170">
                  <c:v>70.349999999999994</c:v>
                </c:pt>
                <c:pt idx="171">
                  <c:v>118.01</c:v>
                </c:pt>
                <c:pt idx="172">
                  <c:v>157.56</c:v>
                </c:pt>
                <c:pt idx="173">
                  <c:v>60.81</c:v>
                </c:pt>
                <c:pt idx="174">
                  <c:v>66.36</c:v>
                </c:pt>
                <c:pt idx="175">
                  <c:v>67.5</c:v>
                </c:pt>
                <c:pt idx="176">
                  <c:v>86.99</c:v>
                </c:pt>
                <c:pt idx="177">
                  <c:v>84.05</c:v>
                </c:pt>
                <c:pt idx="178">
                  <c:v>205.23</c:v>
                </c:pt>
                <c:pt idx="179">
                  <c:v>72.86</c:v>
                </c:pt>
                <c:pt idx="180">
                  <c:v>82.08</c:v>
                </c:pt>
                <c:pt idx="181">
                  <c:v>119.93</c:v>
                </c:pt>
                <c:pt idx="182">
                  <c:v>139.99</c:v>
                </c:pt>
                <c:pt idx="183">
                  <c:v>137.33000000000001</c:v>
                </c:pt>
                <c:pt idx="184">
                  <c:v>137.55000000000001</c:v>
                </c:pt>
                <c:pt idx="185">
                  <c:v>190.68</c:v>
                </c:pt>
                <c:pt idx="186">
                  <c:v>58.85</c:v>
                </c:pt>
                <c:pt idx="187">
                  <c:v>39.67</c:v>
                </c:pt>
                <c:pt idx="188">
                  <c:v>168.37</c:v>
                </c:pt>
                <c:pt idx="189">
                  <c:v>59.61</c:v>
                </c:pt>
                <c:pt idx="190">
                  <c:v>68.290000000000006</c:v>
                </c:pt>
                <c:pt idx="191">
                  <c:v>107.04</c:v>
                </c:pt>
                <c:pt idx="192">
                  <c:v>94.16</c:v>
                </c:pt>
                <c:pt idx="193">
                  <c:v>159.84</c:v>
                </c:pt>
                <c:pt idx="194">
                  <c:v>80.44</c:v>
                </c:pt>
                <c:pt idx="195">
                  <c:v>162.88</c:v>
                </c:pt>
                <c:pt idx="196">
                  <c:v>74.16</c:v>
                </c:pt>
                <c:pt idx="197">
                  <c:v>145.85</c:v>
                </c:pt>
                <c:pt idx="198">
                  <c:v>55.92</c:v>
                </c:pt>
                <c:pt idx="199">
                  <c:v>287.22000000000003</c:v>
                </c:pt>
                <c:pt idx="200">
                  <c:v>77.81</c:v>
                </c:pt>
                <c:pt idx="201">
                  <c:v>72.599999999999994</c:v>
                </c:pt>
                <c:pt idx="202">
                  <c:v>89.52</c:v>
                </c:pt>
                <c:pt idx="203">
                  <c:v>87.38</c:v>
                </c:pt>
                <c:pt idx="204">
                  <c:v>88.95</c:v>
                </c:pt>
                <c:pt idx="205">
                  <c:v>54.02</c:v>
                </c:pt>
                <c:pt idx="206">
                  <c:v>110.52</c:v>
                </c:pt>
                <c:pt idx="207">
                  <c:v>157.30000000000001</c:v>
                </c:pt>
                <c:pt idx="208">
                  <c:v>84.78</c:v>
                </c:pt>
                <c:pt idx="209">
                  <c:v>55.09</c:v>
                </c:pt>
                <c:pt idx="210">
                  <c:v>21.07</c:v>
                </c:pt>
                <c:pt idx="211">
                  <c:v>197.57</c:v>
                </c:pt>
                <c:pt idx="212">
                  <c:v>107.29</c:v>
                </c:pt>
                <c:pt idx="213">
                  <c:v>102.47</c:v>
                </c:pt>
                <c:pt idx="214">
                  <c:v>89.92</c:v>
                </c:pt>
                <c:pt idx="215">
                  <c:v>145.52000000000001</c:v>
                </c:pt>
                <c:pt idx="216">
                  <c:v>81.93</c:v>
                </c:pt>
                <c:pt idx="217">
                  <c:v>361.03</c:v>
                </c:pt>
                <c:pt idx="218">
                  <c:v>64.52</c:v>
                </c:pt>
                <c:pt idx="219">
                  <c:v>267.41000000000003</c:v>
                </c:pt>
                <c:pt idx="220">
                  <c:v>62.93</c:v>
                </c:pt>
                <c:pt idx="221">
                  <c:v>75.069999999999993</c:v>
                </c:pt>
                <c:pt idx="222">
                  <c:v>74.48</c:v>
                </c:pt>
                <c:pt idx="223">
                  <c:v>57.19</c:v>
                </c:pt>
                <c:pt idx="224">
                  <c:v>102.2</c:v>
                </c:pt>
                <c:pt idx="225">
                  <c:v>94.03</c:v>
                </c:pt>
                <c:pt idx="226">
                  <c:v>78.28</c:v>
                </c:pt>
                <c:pt idx="227">
                  <c:v>57.55</c:v>
                </c:pt>
                <c:pt idx="228">
                  <c:v>115.02</c:v>
                </c:pt>
                <c:pt idx="229">
                  <c:v>119.07</c:v>
                </c:pt>
                <c:pt idx="230">
                  <c:v>92.97</c:v>
                </c:pt>
                <c:pt idx="231">
                  <c:v>138.16999999999999</c:v>
                </c:pt>
                <c:pt idx="232">
                  <c:v>134.94999999999999</c:v>
                </c:pt>
                <c:pt idx="233">
                  <c:v>196.07</c:v>
                </c:pt>
                <c:pt idx="234">
                  <c:v>45.16</c:v>
                </c:pt>
                <c:pt idx="235">
                  <c:v>114.38</c:v>
                </c:pt>
                <c:pt idx="236">
                  <c:v>66.48</c:v>
                </c:pt>
                <c:pt idx="237">
                  <c:v>54.34</c:v>
                </c:pt>
                <c:pt idx="238">
                  <c:v>83.74</c:v>
                </c:pt>
                <c:pt idx="239">
                  <c:v>73.38</c:v>
                </c:pt>
                <c:pt idx="240">
                  <c:v>71.27</c:v>
                </c:pt>
                <c:pt idx="241">
                  <c:v>288.02</c:v>
                </c:pt>
                <c:pt idx="242">
                  <c:v>59.57</c:v>
                </c:pt>
                <c:pt idx="243">
                  <c:v>89.36</c:v>
                </c:pt>
                <c:pt idx="244">
                  <c:v>202.18</c:v>
                </c:pt>
                <c:pt idx="245">
                  <c:v>233.9</c:v>
                </c:pt>
                <c:pt idx="246">
                  <c:v>88.5</c:v>
                </c:pt>
              </c:numCache>
            </c:numRef>
          </c:xVal>
          <c:yVal>
            <c:numRef>
              <c:f>results_complex_200!$M$2:$M$248</c:f>
              <c:numCache>
                <c:formatCode>General</c:formatCode>
                <c:ptCount val="247"/>
                <c:pt idx="0">
                  <c:v>54.339999999999897</c:v>
                </c:pt>
                <c:pt idx="1">
                  <c:v>48.63</c:v>
                </c:pt>
                <c:pt idx="2">
                  <c:v>54.64</c:v>
                </c:pt>
                <c:pt idx="3">
                  <c:v>51.349999999999902</c:v>
                </c:pt>
                <c:pt idx="4">
                  <c:v>52.53</c:v>
                </c:pt>
                <c:pt idx="5">
                  <c:v>52.37</c:v>
                </c:pt>
                <c:pt idx="6">
                  <c:v>53.769999999999897</c:v>
                </c:pt>
                <c:pt idx="7">
                  <c:v>52.03</c:v>
                </c:pt>
                <c:pt idx="8">
                  <c:v>52.3599999999999</c:v>
                </c:pt>
                <c:pt idx="9">
                  <c:v>54.79</c:v>
                </c:pt>
                <c:pt idx="10">
                  <c:v>51.59</c:v>
                </c:pt>
                <c:pt idx="11">
                  <c:v>52.1</c:v>
                </c:pt>
                <c:pt idx="12">
                  <c:v>51.18</c:v>
                </c:pt>
                <c:pt idx="13">
                  <c:v>53</c:v>
                </c:pt>
                <c:pt idx="14">
                  <c:v>54.51</c:v>
                </c:pt>
                <c:pt idx="15">
                  <c:v>53.33</c:v>
                </c:pt>
                <c:pt idx="16">
                  <c:v>53.98</c:v>
                </c:pt>
                <c:pt idx="17">
                  <c:v>31.319999999999901</c:v>
                </c:pt>
                <c:pt idx="18">
                  <c:v>51.92</c:v>
                </c:pt>
                <c:pt idx="19">
                  <c:v>46.2</c:v>
                </c:pt>
                <c:pt idx="20">
                  <c:v>54.12</c:v>
                </c:pt>
                <c:pt idx="21">
                  <c:v>51.89</c:v>
                </c:pt>
                <c:pt idx="22">
                  <c:v>34.15</c:v>
                </c:pt>
                <c:pt idx="23">
                  <c:v>52.23</c:v>
                </c:pt>
                <c:pt idx="24">
                  <c:v>47.13</c:v>
                </c:pt>
                <c:pt idx="25">
                  <c:v>54.279999999999902</c:v>
                </c:pt>
                <c:pt idx="26">
                  <c:v>45.86</c:v>
                </c:pt>
                <c:pt idx="27">
                  <c:v>49.98</c:v>
                </c:pt>
                <c:pt idx="28">
                  <c:v>53.66</c:v>
                </c:pt>
                <c:pt idx="29">
                  <c:v>55.42</c:v>
                </c:pt>
                <c:pt idx="30">
                  <c:v>53.65</c:v>
                </c:pt>
                <c:pt idx="31">
                  <c:v>55.75</c:v>
                </c:pt>
                <c:pt idx="32">
                  <c:v>55.059999999999903</c:v>
                </c:pt>
                <c:pt idx="33">
                  <c:v>51.339999999999897</c:v>
                </c:pt>
                <c:pt idx="34">
                  <c:v>50.73</c:v>
                </c:pt>
                <c:pt idx="35">
                  <c:v>52.62</c:v>
                </c:pt>
                <c:pt idx="36">
                  <c:v>54.9</c:v>
                </c:pt>
                <c:pt idx="37">
                  <c:v>49.73</c:v>
                </c:pt>
                <c:pt idx="38">
                  <c:v>54.669999999999902</c:v>
                </c:pt>
                <c:pt idx="39">
                  <c:v>53.59</c:v>
                </c:pt>
                <c:pt idx="40">
                  <c:v>51.98</c:v>
                </c:pt>
                <c:pt idx="41">
                  <c:v>51.129999999999903</c:v>
                </c:pt>
                <c:pt idx="42">
                  <c:v>48.67</c:v>
                </c:pt>
                <c:pt idx="43">
                  <c:v>51.59</c:v>
                </c:pt>
                <c:pt idx="44">
                  <c:v>50.66</c:v>
                </c:pt>
                <c:pt idx="45">
                  <c:v>55.32</c:v>
                </c:pt>
                <c:pt idx="46">
                  <c:v>49.68</c:v>
                </c:pt>
                <c:pt idx="47">
                  <c:v>39.589999999999897</c:v>
                </c:pt>
                <c:pt idx="48">
                  <c:v>47.43</c:v>
                </c:pt>
                <c:pt idx="49">
                  <c:v>52.29</c:v>
                </c:pt>
                <c:pt idx="50">
                  <c:v>53.23</c:v>
                </c:pt>
                <c:pt idx="51">
                  <c:v>54.61</c:v>
                </c:pt>
                <c:pt idx="52">
                  <c:v>55.37</c:v>
                </c:pt>
                <c:pt idx="53">
                  <c:v>50.42</c:v>
                </c:pt>
                <c:pt idx="54">
                  <c:v>51.449999999999903</c:v>
                </c:pt>
                <c:pt idx="55">
                  <c:v>51.49</c:v>
                </c:pt>
                <c:pt idx="56">
                  <c:v>51.4</c:v>
                </c:pt>
                <c:pt idx="57">
                  <c:v>53.169999999999902</c:v>
                </c:pt>
                <c:pt idx="58">
                  <c:v>17.02</c:v>
                </c:pt>
                <c:pt idx="59">
                  <c:v>47.74</c:v>
                </c:pt>
                <c:pt idx="60">
                  <c:v>54.87</c:v>
                </c:pt>
                <c:pt idx="61">
                  <c:v>53.03</c:v>
                </c:pt>
                <c:pt idx="62">
                  <c:v>52.76</c:v>
                </c:pt>
                <c:pt idx="63">
                  <c:v>54.02</c:v>
                </c:pt>
                <c:pt idx="64">
                  <c:v>53.82</c:v>
                </c:pt>
                <c:pt idx="65">
                  <c:v>47.43</c:v>
                </c:pt>
                <c:pt idx="66">
                  <c:v>46.339999999999897</c:v>
                </c:pt>
                <c:pt idx="67">
                  <c:v>52.88</c:v>
                </c:pt>
                <c:pt idx="68">
                  <c:v>53.239999999999903</c:v>
                </c:pt>
                <c:pt idx="69">
                  <c:v>52.61</c:v>
                </c:pt>
                <c:pt idx="70">
                  <c:v>50.36</c:v>
                </c:pt>
                <c:pt idx="71">
                  <c:v>54.37</c:v>
                </c:pt>
                <c:pt idx="72">
                  <c:v>54.36</c:v>
                </c:pt>
                <c:pt idx="73">
                  <c:v>48.42</c:v>
                </c:pt>
                <c:pt idx="74">
                  <c:v>54.35</c:v>
                </c:pt>
                <c:pt idx="75">
                  <c:v>55.19</c:v>
                </c:pt>
                <c:pt idx="76">
                  <c:v>41.65</c:v>
                </c:pt>
                <c:pt idx="77">
                  <c:v>52.2</c:v>
                </c:pt>
                <c:pt idx="78">
                  <c:v>54.63</c:v>
                </c:pt>
                <c:pt idx="79">
                  <c:v>49.55</c:v>
                </c:pt>
                <c:pt idx="80">
                  <c:v>54.2</c:v>
                </c:pt>
                <c:pt idx="81">
                  <c:v>55.4</c:v>
                </c:pt>
                <c:pt idx="82">
                  <c:v>50.49</c:v>
                </c:pt>
                <c:pt idx="83">
                  <c:v>53.63</c:v>
                </c:pt>
                <c:pt idx="84">
                  <c:v>54.11</c:v>
                </c:pt>
                <c:pt idx="85">
                  <c:v>52.26</c:v>
                </c:pt>
                <c:pt idx="86">
                  <c:v>54.25</c:v>
                </c:pt>
                <c:pt idx="87">
                  <c:v>53.949999999999903</c:v>
                </c:pt>
                <c:pt idx="88">
                  <c:v>54.92</c:v>
                </c:pt>
                <c:pt idx="89">
                  <c:v>54.75</c:v>
                </c:pt>
                <c:pt idx="90">
                  <c:v>50.349999999999902</c:v>
                </c:pt>
                <c:pt idx="91">
                  <c:v>54.89</c:v>
                </c:pt>
                <c:pt idx="92">
                  <c:v>51.91</c:v>
                </c:pt>
                <c:pt idx="93">
                  <c:v>52.569999999999901</c:v>
                </c:pt>
                <c:pt idx="94">
                  <c:v>48.63</c:v>
                </c:pt>
                <c:pt idx="95">
                  <c:v>55.04</c:v>
                </c:pt>
                <c:pt idx="96">
                  <c:v>52.6</c:v>
                </c:pt>
                <c:pt idx="97">
                  <c:v>52.47</c:v>
                </c:pt>
                <c:pt idx="98">
                  <c:v>55.02</c:v>
                </c:pt>
                <c:pt idx="99">
                  <c:v>48.24</c:v>
                </c:pt>
                <c:pt idx="100">
                  <c:v>48.77</c:v>
                </c:pt>
                <c:pt idx="101">
                  <c:v>51.66</c:v>
                </c:pt>
                <c:pt idx="102">
                  <c:v>45.23</c:v>
                </c:pt>
                <c:pt idx="103">
                  <c:v>55.36</c:v>
                </c:pt>
                <c:pt idx="104">
                  <c:v>54.449999999999903</c:v>
                </c:pt>
                <c:pt idx="105">
                  <c:v>44.08</c:v>
                </c:pt>
                <c:pt idx="106">
                  <c:v>54.65</c:v>
                </c:pt>
                <c:pt idx="107">
                  <c:v>40.33</c:v>
                </c:pt>
                <c:pt idx="108">
                  <c:v>49.81</c:v>
                </c:pt>
                <c:pt idx="109">
                  <c:v>52.769999999999897</c:v>
                </c:pt>
                <c:pt idx="110">
                  <c:v>49.86</c:v>
                </c:pt>
                <c:pt idx="111">
                  <c:v>43.21</c:v>
                </c:pt>
                <c:pt idx="112">
                  <c:v>48.58</c:v>
                </c:pt>
                <c:pt idx="113">
                  <c:v>50.91</c:v>
                </c:pt>
                <c:pt idx="114">
                  <c:v>55.089999999999897</c:v>
                </c:pt>
                <c:pt idx="115">
                  <c:v>46.88</c:v>
                </c:pt>
                <c:pt idx="116">
                  <c:v>54.84</c:v>
                </c:pt>
                <c:pt idx="117">
                  <c:v>52.58</c:v>
                </c:pt>
                <c:pt idx="118">
                  <c:v>53.44</c:v>
                </c:pt>
                <c:pt idx="119">
                  <c:v>53.39</c:v>
                </c:pt>
                <c:pt idx="120">
                  <c:v>53.42</c:v>
                </c:pt>
                <c:pt idx="121">
                  <c:v>45.37</c:v>
                </c:pt>
                <c:pt idx="122">
                  <c:v>49.559999999999903</c:v>
                </c:pt>
                <c:pt idx="123">
                  <c:v>52.51</c:v>
                </c:pt>
                <c:pt idx="124">
                  <c:v>48.87</c:v>
                </c:pt>
                <c:pt idx="125">
                  <c:v>52.78</c:v>
                </c:pt>
                <c:pt idx="126">
                  <c:v>52.83</c:v>
                </c:pt>
                <c:pt idx="127">
                  <c:v>46.85</c:v>
                </c:pt>
                <c:pt idx="128">
                  <c:v>47.339999999999897</c:v>
                </c:pt>
                <c:pt idx="129">
                  <c:v>52.66</c:v>
                </c:pt>
                <c:pt idx="130">
                  <c:v>43.07</c:v>
                </c:pt>
                <c:pt idx="131">
                  <c:v>53.73</c:v>
                </c:pt>
                <c:pt idx="132">
                  <c:v>19.91</c:v>
                </c:pt>
                <c:pt idx="133">
                  <c:v>53.51</c:v>
                </c:pt>
                <c:pt idx="134">
                  <c:v>50.01</c:v>
                </c:pt>
                <c:pt idx="135">
                  <c:v>45.56</c:v>
                </c:pt>
                <c:pt idx="136">
                  <c:v>45.55</c:v>
                </c:pt>
                <c:pt idx="137">
                  <c:v>55.089999999999897</c:v>
                </c:pt>
                <c:pt idx="138">
                  <c:v>43.8</c:v>
                </c:pt>
                <c:pt idx="139">
                  <c:v>54.59</c:v>
                </c:pt>
                <c:pt idx="140">
                  <c:v>52.18</c:v>
                </c:pt>
                <c:pt idx="141">
                  <c:v>54.42</c:v>
                </c:pt>
                <c:pt idx="142">
                  <c:v>54.559999999999903</c:v>
                </c:pt>
                <c:pt idx="143">
                  <c:v>55.61</c:v>
                </c:pt>
                <c:pt idx="144">
                  <c:v>52.43</c:v>
                </c:pt>
                <c:pt idx="145">
                  <c:v>55.32</c:v>
                </c:pt>
                <c:pt idx="146">
                  <c:v>51.18</c:v>
                </c:pt>
                <c:pt idx="147">
                  <c:v>52.25</c:v>
                </c:pt>
                <c:pt idx="148">
                  <c:v>53.7</c:v>
                </c:pt>
                <c:pt idx="149">
                  <c:v>54.65</c:v>
                </c:pt>
                <c:pt idx="150">
                  <c:v>55.489999999999903</c:v>
                </c:pt>
                <c:pt idx="151">
                  <c:v>55.2</c:v>
                </c:pt>
                <c:pt idx="152">
                  <c:v>38.5</c:v>
                </c:pt>
                <c:pt idx="153">
                  <c:v>18.850000000000001</c:v>
                </c:pt>
                <c:pt idx="154">
                  <c:v>45.44</c:v>
                </c:pt>
                <c:pt idx="155">
                  <c:v>53.99</c:v>
                </c:pt>
                <c:pt idx="156">
                  <c:v>52.11</c:v>
                </c:pt>
                <c:pt idx="157">
                  <c:v>45.91</c:v>
                </c:pt>
                <c:pt idx="158">
                  <c:v>55.089999999999897</c:v>
                </c:pt>
                <c:pt idx="159">
                  <c:v>52.949999999999903</c:v>
                </c:pt>
                <c:pt idx="160">
                  <c:v>54.1799999999999</c:v>
                </c:pt>
                <c:pt idx="161">
                  <c:v>54.87</c:v>
                </c:pt>
                <c:pt idx="162">
                  <c:v>54.37</c:v>
                </c:pt>
                <c:pt idx="163">
                  <c:v>52.15</c:v>
                </c:pt>
                <c:pt idx="164">
                  <c:v>55.7</c:v>
                </c:pt>
                <c:pt idx="165">
                  <c:v>49.47</c:v>
                </c:pt>
                <c:pt idx="166">
                  <c:v>49.19</c:v>
                </c:pt>
                <c:pt idx="167">
                  <c:v>47.599999999999902</c:v>
                </c:pt>
                <c:pt idx="168">
                  <c:v>52.72</c:v>
                </c:pt>
                <c:pt idx="169">
                  <c:v>53.069999999999901</c:v>
                </c:pt>
                <c:pt idx="170">
                  <c:v>55.16</c:v>
                </c:pt>
                <c:pt idx="171">
                  <c:v>53.19</c:v>
                </c:pt>
                <c:pt idx="172">
                  <c:v>50.8</c:v>
                </c:pt>
                <c:pt idx="173">
                  <c:v>53.41</c:v>
                </c:pt>
                <c:pt idx="174">
                  <c:v>53.76</c:v>
                </c:pt>
                <c:pt idx="175">
                  <c:v>51.66</c:v>
                </c:pt>
                <c:pt idx="176">
                  <c:v>54.69</c:v>
                </c:pt>
                <c:pt idx="177">
                  <c:v>51.97</c:v>
                </c:pt>
                <c:pt idx="178">
                  <c:v>53.33</c:v>
                </c:pt>
                <c:pt idx="179">
                  <c:v>53.71</c:v>
                </c:pt>
                <c:pt idx="180">
                  <c:v>42.089999999999897</c:v>
                </c:pt>
                <c:pt idx="181">
                  <c:v>49.49</c:v>
                </c:pt>
                <c:pt idx="182">
                  <c:v>51.6</c:v>
                </c:pt>
                <c:pt idx="183">
                  <c:v>52.11</c:v>
                </c:pt>
                <c:pt idx="184">
                  <c:v>52.72</c:v>
                </c:pt>
                <c:pt idx="185">
                  <c:v>54.26</c:v>
                </c:pt>
                <c:pt idx="186">
                  <c:v>53.5</c:v>
                </c:pt>
                <c:pt idx="187">
                  <c:v>45.9</c:v>
                </c:pt>
                <c:pt idx="188">
                  <c:v>53.23</c:v>
                </c:pt>
                <c:pt idx="189">
                  <c:v>53.08</c:v>
                </c:pt>
                <c:pt idx="190">
                  <c:v>54.41</c:v>
                </c:pt>
                <c:pt idx="191">
                  <c:v>53.239999999999903</c:v>
                </c:pt>
                <c:pt idx="192">
                  <c:v>54.98</c:v>
                </c:pt>
                <c:pt idx="193">
                  <c:v>54.6</c:v>
                </c:pt>
                <c:pt idx="194">
                  <c:v>54.22</c:v>
                </c:pt>
                <c:pt idx="195">
                  <c:v>33.39</c:v>
                </c:pt>
                <c:pt idx="196">
                  <c:v>52.019999999999897</c:v>
                </c:pt>
                <c:pt idx="197">
                  <c:v>53.89</c:v>
                </c:pt>
                <c:pt idx="198">
                  <c:v>44.68</c:v>
                </c:pt>
                <c:pt idx="199">
                  <c:v>51.71</c:v>
                </c:pt>
                <c:pt idx="200">
                  <c:v>52.949999999999903</c:v>
                </c:pt>
                <c:pt idx="201">
                  <c:v>54.8</c:v>
                </c:pt>
                <c:pt idx="202">
                  <c:v>43.1</c:v>
                </c:pt>
                <c:pt idx="203">
                  <c:v>54.42</c:v>
                </c:pt>
                <c:pt idx="204">
                  <c:v>54.1</c:v>
                </c:pt>
                <c:pt idx="205">
                  <c:v>52.449999999999903</c:v>
                </c:pt>
                <c:pt idx="206">
                  <c:v>52.3</c:v>
                </c:pt>
                <c:pt idx="207">
                  <c:v>52.19</c:v>
                </c:pt>
                <c:pt idx="208">
                  <c:v>55.059999999999903</c:v>
                </c:pt>
                <c:pt idx="209">
                  <c:v>48.87</c:v>
                </c:pt>
                <c:pt idx="210">
                  <c:v>31</c:v>
                </c:pt>
                <c:pt idx="211">
                  <c:v>55.24</c:v>
                </c:pt>
                <c:pt idx="212">
                  <c:v>54.02</c:v>
                </c:pt>
                <c:pt idx="213">
                  <c:v>51.87</c:v>
                </c:pt>
                <c:pt idx="214">
                  <c:v>53.459999999999901</c:v>
                </c:pt>
                <c:pt idx="215">
                  <c:v>45.68</c:v>
                </c:pt>
                <c:pt idx="216">
                  <c:v>46.25</c:v>
                </c:pt>
                <c:pt idx="217">
                  <c:v>51.259999999999899</c:v>
                </c:pt>
                <c:pt idx="218">
                  <c:v>54.13</c:v>
                </c:pt>
                <c:pt idx="219">
                  <c:v>54.669999999999902</c:v>
                </c:pt>
                <c:pt idx="220">
                  <c:v>51.87</c:v>
                </c:pt>
                <c:pt idx="221">
                  <c:v>49.45</c:v>
                </c:pt>
                <c:pt idx="222">
                  <c:v>54.6</c:v>
                </c:pt>
                <c:pt idx="223">
                  <c:v>50.61</c:v>
                </c:pt>
                <c:pt idx="224">
                  <c:v>55.6</c:v>
                </c:pt>
                <c:pt idx="225">
                  <c:v>53.58</c:v>
                </c:pt>
                <c:pt idx="226">
                  <c:v>54.09</c:v>
                </c:pt>
                <c:pt idx="227">
                  <c:v>52.81</c:v>
                </c:pt>
                <c:pt idx="228">
                  <c:v>44.84</c:v>
                </c:pt>
                <c:pt idx="229">
                  <c:v>51.44</c:v>
                </c:pt>
                <c:pt idx="230">
                  <c:v>52.55</c:v>
                </c:pt>
                <c:pt idx="231">
                  <c:v>53.01</c:v>
                </c:pt>
                <c:pt idx="232">
                  <c:v>50.61</c:v>
                </c:pt>
                <c:pt idx="233">
                  <c:v>54.92</c:v>
                </c:pt>
                <c:pt idx="234">
                  <c:v>50.77</c:v>
                </c:pt>
                <c:pt idx="235">
                  <c:v>47.06</c:v>
                </c:pt>
                <c:pt idx="236">
                  <c:v>54.14</c:v>
                </c:pt>
                <c:pt idx="237">
                  <c:v>54.059999999999903</c:v>
                </c:pt>
                <c:pt idx="238">
                  <c:v>51.28</c:v>
                </c:pt>
                <c:pt idx="239">
                  <c:v>54.4</c:v>
                </c:pt>
                <c:pt idx="240">
                  <c:v>53.41</c:v>
                </c:pt>
                <c:pt idx="241">
                  <c:v>53.58</c:v>
                </c:pt>
                <c:pt idx="242">
                  <c:v>55</c:v>
                </c:pt>
                <c:pt idx="243">
                  <c:v>46.01</c:v>
                </c:pt>
                <c:pt idx="244">
                  <c:v>16.52</c:v>
                </c:pt>
                <c:pt idx="245">
                  <c:v>54.7</c:v>
                </c:pt>
                <c:pt idx="246">
                  <c:v>54.24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8-4A0F-91D4-CE78FC6FB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06912"/>
        <c:axId val="201907392"/>
      </c:scatterChart>
      <c:valAx>
        <c:axId val="201906912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7392"/>
        <c:crosses val="autoZero"/>
        <c:crossBetween val="midCat"/>
      </c:valAx>
      <c:valAx>
        <c:axId val="2019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cs-CZ"/>
              <a:t> vs total neurons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results_complex_200!$L$1</c:f>
              <c:strCache>
                <c:ptCount val="1"/>
                <c:pt idx="0">
                  <c:v>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results_complex_200!$F$2:$F$248</c:f>
              <c:numCache>
                <c:formatCode>0</c:formatCode>
                <c:ptCount val="247"/>
                <c:pt idx="0">
                  <c:v>2675.6875</c:v>
                </c:pt>
                <c:pt idx="1">
                  <c:v>16458</c:v>
                </c:pt>
                <c:pt idx="2">
                  <c:v>1930.5</c:v>
                </c:pt>
                <c:pt idx="3">
                  <c:v>1669.5</c:v>
                </c:pt>
                <c:pt idx="4">
                  <c:v>2620.6044921875</c:v>
                </c:pt>
                <c:pt idx="5">
                  <c:v>1931.25</c:v>
                </c:pt>
                <c:pt idx="6">
                  <c:v>1161</c:v>
                </c:pt>
                <c:pt idx="7">
                  <c:v>1293</c:v>
                </c:pt>
                <c:pt idx="8">
                  <c:v>917</c:v>
                </c:pt>
                <c:pt idx="9">
                  <c:v>5487.890625</c:v>
                </c:pt>
                <c:pt idx="10">
                  <c:v>8150</c:v>
                </c:pt>
                <c:pt idx="11">
                  <c:v>4650</c:v>
                </c:pt>
                <c:pt idx="12">
                  <c:v>8257.8125</c:v>
                </c:pt>
                <c:pt idx="13">
                  <c:v>1784</c:v>
                </c:pt>
                <c:pt idx="14">
                  <c:v>1523.046875</c:v>
                </c:pt>
                <c:pt idx="15">
                  <c:v>1976.1396484375</c:v>
                </c:pt>
                <c:pt idx="16">
                  <c:v>2756.25</c:v>
                </c:pt>
                <c:pt idx="17">
                  <c:v>22134</c:v>
                </c:pt>
                <c:pt idx="18">
                  <c:v>6837.25</c:v>
                </c:pt>
                <c:pt idx="19">
                  <c:v>12031.1064453125</c:v>
                </c:pt>
                <c:pt idx="20">
                  <c:v>1902</c:v>
                </c:pt>
                <c:pt idx="21">
                  <c:v>846.375</c:v>
                </c:pt>
                <c:pt idx="22">
                  <c:v>15668</c:v>
                </c:pt>
                <c:pt idx="23">
                  <c:v>13676</c:v>
                </c:pt>
                <c:pt idx="24">
                  <c:v>9428.0625</c:v>
                </c:pt>
                <c:pt idx="25">
                  <c:v>2099.75</c:v>
                </c:pt>
                <c:pt idx="26">
                  <c:v>6054</c:v>
                </c:pt>
                <c:pt idx="27">
                  <c:v>2564.5625</c:v>
                </c:pt>
                <c:pt idx="28">
                  <c:v>1125.25</c:v>
                </c:pt>
                <c:pt idx="29">
                  <c:v>5128</c:v>
                </c:pt>
                <c:pt idx="30">
                  <c:v>1730.53125</c:v>
                </c:pt>
                <c:pt idx="31">
                  <c:v>3081.640625</c:v>
                </c:pt>
                <c:pt idx="32">
                  <c:v>5346.427734375</c:v>
                </c:pt>
                <c:pt idx="33">
                  <c:v>7370</c:v>
                </c:pt>
                <c:pt idx="34">
                  <c:v>1042</c:v>
                </c:pt>
                <c:pt idx="35">
                  <c:v>1170.55859375</c:v>
                </c:pt>
                <c:pt idx="36">
                  <c:v>4025</c:v>
                </c:pt>
                <c:pt idx="37">
                  <c:v>2274</c:v>
                </c:pt>
                <c:pt idx="38">
                  <c:v>1256.25</c:v>
                </c:pt>
                <c:pt idx="39">
                  <c:v>2122</c:v>
                </c:pt>
                <c:pt idx="40">
                  <c:v>9210</c:v>
                </c:pt>
                <c:pt idx="41">
                  <c:v>2719.2470703125</c:v>
                </c:pt>
                <c:pt idx="42">
                  <c:v>582</c:v>
                </c:pt>
                <c:pt idx="43">
                  <c:v>5250</c:v>
                </c:pt>
                <c:pt idx="44">
                  <c:v>361</c:v>
                </c:pt>
                <c:pt idx="45">
                  <c:v>5368</c:v>
                </c:pt>
                <c:pt idx="46">
                  <c:v>4014</c:v>
                </c:pt>
                <c:pt idx="47">
                  <c:v>1954.75</c:v>
                </c:pt>
                <c:pt idx="48">
                  <c:v>1266</c:v>
                </c:pt>
                <c:pt idx="49">
                  <c:v>820</c:v>
                </c:pt>
                <c:pt idx="50">
                  <c:v>1644</c:v>
                </c:pt>
                <c:pt idx="51">
                  <c:v>8726.580078125</c:v>
                </c:pt>
                <c:pt idx="52">
                  <c:v>7404</c:v>
                </c:pt>
                <c:pt idx="53">
                  <c:v>2171.09375</c:v>
                </c:pt>
                <c:pt idx="54">
                  <c:v>7049.65625</c:v>
                </c:pt>
                <c:pt idx="55">
                  <c:v>2187.5</c:v>
                </c:pt>
                <c:pt idx="56">
                  <c:v>6821.9375</c:v>
                </c:pt>
                <c:pt idx="57">
                  <c:v>1114.3125</c:v>
                </c:pt>
                <c:pt idx="58">
                  <c:v>13275</c:v>
                </c:pt>
                <c:pt idx="59">
                  <c:v>1713.0927734375</c:v>
                </c:pt>
                <c:pt idx="60">
                  <c:v>4211.15625</c:v>
                </c:pt>
                <c:pt idx="61">
                  <c:v>4285.75</c:v>
                </c:pt>
                <c:pt idx="62">
                  <c:v>4872</c:v>
                </c:pt>
                <c:pt idx="63">
                  <c:v>625.8125</c:v>
                </c:pt>
                <c:pt idx="64">
                  <c:v>7761</c:v>
                </c:pt>
                <c:pt idx="65">
                  <c:v>1291.5</c:v>
                </c:pt>
                <c:pt idx="66">
                  <c:v>1604.53125</c:v>
                </c:pt>
                <c:pt idx="67">
                  <c:v>9267</c:v>
                </c:pt>
                <c:pt idx="68">
                  <c:v>5705</c:v>
                </c:pt>
                <c:pt idx="69">
                  <c:v>1760</c:v>
                </c:pt>
                <c:pt idx="70">
                  <c:v>505.5</c:v>
                </c:pt>
                <c:pt idx="71">
                  <c:v>2759</c:v>
                </c:pt>
                <c:pt idx="72">
                  <c:v>11534.60546875</c:v>
                </c:pt>
                <c:pt idx="73">
                  <c:v>1380</c:v>
                </c:pt>
                <c:pt idx="74">
                  <c:v>2740.5</c:v>
                </c:pt>
                <c:pt idx="75">
                  <c:v>2617.5</c:v>
                </c:pt>
                <c:pt idx="76">
                  <c:v>1348.115234375</c:v>
                </c:pt>
                <c:pt idx="77">
                  <c:v>383</c:v>
                </c:pt>
                <c:pt idx="78">
                  <c:v>1758.75</c:v>
                </c:pt>
                <c:pt idx="79">
                  <c:v>1593</c:v>
                </c:pt>
                <c:pt idx="80">
                  <c:v>2677.5</c:v>
                </c:pt>
                <c:pt idx="81">
                  <c:v>8780.5625</c:v>
                </c:pt>
                <c:pt idx="82">
                  <c:v>11126.8828125</c:v>
                </c:pt>
                <c:pt idx="83">
                  <c:v>6923</c:v>
                </c:pt>
                <c:pt idx="84">
                  <c:v>3596</c:v>
                </c:pt>
                <c:pt idx="85">
                  <c:v>1417.5625</c:v>
                </c:pt>
                <c:pt idx="86">
                  <c:v>817.25</c:v>
                </c:pt>
                <c:pt idx="87">
                  <c:v>1315.5625</c:v>
                </c:pt>
                <c:pt idx="88">
                  <c:v>5418</c:v>
                </c:pt>
                <c:pt idx="89">
                  <c:v>7973.4375</c:v>
                </c:pt>
                <c:pt idx="90">
                  <c:v>519</c:v>
                </c:pt>
                <c:pt idx="91">
                  <c:v>633.5625</c:v>
                </c:pt>
                <c:pt idx="92">
                  <c:v>5517.75</c:v>
                </c:pt>
                <c:pt idx="93">
                  <c:v>682</c:v>
                </c:pt>
                <c:pt idx="94">
                  <c:v>1022.125</c:v>
                </c:pt>
                <c:pt idx="95">
                  <c:v>1741.99609375</c:v>
                </c:pt>
                <c:pt idx="96">
                  <c:v>2324</c:v>
                </c:pt>
                <c:pt idx="97">
                  <c:v>3243.375</c:v>
                </c:pt>
                <c:pt idx="98">
                  <c:v>1264</c:v>
                </c:pt>
                <c:pt idx="99">
                  <c:v>15050</c:v>
                </c:pt>
                <c:pt idx="100">
                  <c:v>2373.75</c:v>
                </c:pt>
                <c:pt idx="101">
                  <c:v>3786</c:v>
                </c:pt>
                <c:pt idx="102">
                  <c:v>8595.5625</c:v>
                </c:pt>
                <c:pt idx="103">
                  <c:v>2750.625</c:v>
                </c:pt>
                <c:pt idx="104">
                  <c:v>484.75</c:v>
                </c:pt>
                <c:pt idx="105">
                  <c:v>2940</c:v>
                </c:pt>
                <c:pt idx="106">
                  <c:v>8826</c:v>
                </c:pt>
                <c:pt idx="107">
                  <c:v>7032.3125</c:v>
                </c:pt>
                <c:pt idx="108">
                  <c:v>883.125</c:v>
                </c:pt>
                <c:pt idx="109">
                  <c:v>313</c:v>
                </c:pt>
                <c:pt idx="110">
                  <c:v>9920</c:v>
                </c:pt>
                <c:pt idx="111">
                  <c:v>4566</c:v>
                </c:pt>
                <c:pt idx="112">
                  <c:v>6363</c:v>
                </c:pt>
                <c:pt idx="113">
                  <c:v>2952.25</c:v>
                </c:pt>
                <c:pt idx="114">
                  <c:v>1315.234375</c:v>
                </c:pt>
                <c:pt idx="115">
                  <c:v>721</c:v>
                </c:pt>
                <c:pt idx="116">
                  <c:v>3310.09765625</c:v>
                </c:pt>
                <c:pt idx="117">
                  <c:v>1609</c:v>
                </c:pt>
                <c:pt idx="118">
                  <c:v>1759</c:v>
                </c:pt>
                <c:pt idx="119">
                  <c:v>2065.21875</c:v>
                </c:pt>
                <c:pt idx="120">
                  <c:v>12030</c:v>
                </c:pt>
                <c:pt idx="121">
                  <c:v>919.40625</c:v>
                </c:pt>
                <c:pt idx="122">
                  <c:v>2611</c:v>
                </c:pt>
                <c:pt idx="123">
                  <c:v>603</c:v>
                </c:pt>
                <c:pt idx="124">
                  <c:v>1072.75</c:v>
                </c:pt>
                <c:pt idx="125">
                  <c:v>7034.625</c:v>
                </c:pt>
                <c:pt idx="126">
                  <c:v>1909.7890625</c:v>
                </c:pt>
                <c:pt idx="127">
                  <c:v>3120</c:v>
                </c:pt>
                <c:pt idx="128">
                  <c:v>7082</c:v>
                </c:pt>
                <c:pt idx="129">
                  <c:v>6101.5625</c:v>
                </c:pt>
                <c:pt idx="130">
                  <c:v>7210.7724609375</c:v>
                </c:pt>
                <c:pt idx="131">
                  <c:v>1314.25</c:v>
                </c:pt>
                <c:pt idx="132">
                  <c:v>2577.859375</c:v>
                </c:pt>
                <c:pt idx="133">
                  <c:v>6174.8125</c:v>
                </c:pt>
                <c:pt idx="134">
                  <c:v>817</c:v>
                </c:pt>
                <c:pt idx="135">
                  <c:v>519.375</c:v>
                </c:pt>
                <c:pt idx="136">
                  <c:v>3791.1630859375</c:v>
                </c:pt>
                <c:pt idx="137">
                  <c:v>4692</c:v>
                </c:pt>
                <c:pt idx="138">
                  <c:v>3557</c:v>
                </c:pt>
                <c:pt idx="139">
                  <c:v>6904.98046875</c:v>
                </c:pt>
                <c:pt idx="140">
                  <c:v>490</c:v>
                </c:pt>
                <c:pt idx="141">
                  <c:v>673.75</c:v>
                </c:pt>
                <c:pt idx="142">
                  <c:v>7953</c:v>
                </c:pt>
                <c:pt idx="143">
                  <c:v>5108</c:v>
                </c:pt>
                <c:pt idx="144">
                  <c:v>2876.25</c:v>
                </c:pt>
                <c:pt idx="145">
                  <c:v>3042</c:v>
                </c:pt>
                <c:pt idx="146">
                  <c:v>2079</c:v>
                </c:pt>
                <c:pt idx="147">
                  <c:v>705</c:v>
                </c:pt>
                <c:pt idx="148">
                  <c:v>1236.3203125</c:v>
                </c:pt>
                <c:pt idx="149">
                  <c:v>4810</c:v>
                </c:pt>
                <c:pt idx="150">
                  <c:v>2846.37890625</c:v>
                </c:pt>
                <c:pt idx="151">
                  <c:v>2436</c:v>
                </c:pt>
                <c:pt idx="152">
                  <c:v>5946.1875</c:v>
                </c:pt>
                <c:pt idx="153">
                  <c:v>10294.921875</c:v>
                </c:pt>
                <c:pt idx="154">
                  <c:v>5022.28125</c:v>
                </c:pt>
                <c:pt idx="155">
                  <c:v>7602</c:v>
                </c:pt>
                <c:pt idx="156">
                  <c:v>3102.64453125</c:v>
                </c:pt>
                <c:pt idx="157">
                  <c:v>2304</c:v>
                </c:pt>
                <c:pt idx="158">
                  <c:v>2217</c:v>
                </c:pt>
                <c:pt idx="159">
                  <c:v>3142</c:v>
                </c:pt>
                <c:pt idx="160">
                  <c:v>2376.5</c:v>
                </c:pt>
                <c:pt idx="161">
                  <c:v>1476</c:v>
                </c:pt>
                <c:pt idx="162">
                  <c:v>2115</c:v>
                </c:pt>
                <c:pt idx="163">
                  <c:v>574</c:v>
                </c:pt>
                <c:pt idx="164">
                  <c:v>1341</c:v>
                </c:pt>
                <c:pt idx="165">
                  <c:v>1866</c:v>
                </c:pt>
                <c:pt idx="166">
                  <c:v>568</c:v>
                </c:pt>
                <c:pt idx="167">
                  <c:v>2655</c:v>
                </c:pt>
                <c:pt idx="168">
                  <c:v>322</c:v>
                </c:pt>
                <c:pt idx="169">
                  <c:v>782.03125</c:v>
                </c:pt>
                <c:pt idx="170">
                  <c:v>1576</c:v>
                </c:pt>
                <c:pt idx="171">
                  <c:v>811.8125</c:v>
                </c:pt>
                <c:pt idx="172">
                  <c:v>4828.5</c:v>
                </c:pt>
                <c:pt idx="173">
                  <c:v>1772</c:v>
                </c:pt>
                <c:pt idx="174">
                  <c:v>1228.5</c:v>
                </c:pt>
                <c:pt idx="175">
                  <c:v>806</c:v>
                </c:pt>
                <c:pt idx="176">
                  <c:v>1067.5625</c:v>
                </c:pt>
                <c:pt idx="177">
                  <c:v>6045</c:v>
                </c:pt>
                <c:pt idx="178">
                  <c:v>4597.5</c:v>
                </c:pt>
                <c:pt idx="179">
                  <c:v>3494.75</c:v>
                </c:pt>
                <c:pt idx="180">
                  <c:v>3119.375</c:v>
                </c:pt>
                <c:pt idx="181">
                  <c:v>5360.22265625</c:v>
                </c:pt>
                <c:pt idx="182">
                  <c:v>3096.84375</c:v>
                </c:pt>
                <c:pt idx="183">
                  <c:v>1666</c:v>
                </c:pt>
                <c:pt idx="184">
                  <c:v>3039.75</c:v>
                </c:pt>
                <c:pt idx="185">
                  <c:v>7432.375</c:v>
                </c:pt>
                <c:pt idx="186">
                  <c:v>1021</c:v>
                </c:pt>
                <c:pt idx="187">
                  <c:v>570</c:v>
                </c:pt>
                <c:pt idx="188">
                  <c:v>5052</c:v>
                </c:pt>
                <c:pt idx="189">
                  <c:v>2288.5078125</c:v>
                </c:pt>
                <c:pt idx="190">
                  <c:v>1415.625</c:v>
                </c:pt>
                <c:pt idx="191">
                  <c:v>4114.25</c:v>
                </c:pt>
                <c:pt idx="192">
                  <c:v>1571.15234375</c:v>
                </c:pt>
                <c:pt idx="193">
                  <c:v>3807.5625</c:v>
                </c:pt>
                <c:pt idx="194">
                  <c:v>3264.84375</c:v>
                </c:pt>
                <c:pt idx="195">
                  <c:v>6919</c:v>
                </c:pt>
                <c:pt idx="196">
                  <c:v>387</c:v>
                </c:pt>
                <c:pt idx="197">
                  <c:v>2608</c:v>
                </c:pt>
                <c:pt idx="198">
                  <c:v>982</c:v>
                </c:pt>
                <c:pt idx="199">
                  <c:v>10022.0859375</c:v>
                </c:pt>
                <c:pt idx="200">
                  <c:v>828.515625</c:v>
                </c:pt>
                <c:pt idx="201">
                  <c:v>2247</c:v>
                </c:pt>
                <c:pt idx="202">
                  <c:v>3064</c:v>
                </c:pt>
                <c:pt idx="203">
                  <c:v>3163.671875</c:v>
                </c:pt>
                <c:pt idx="204">
                  <c:v>3026.375</c:v>
                </c:pt>
                <c:pt idx="205">
                  <c:v>1212.75</c:v>
                </c:pt>
                <c:pt idx="206">
                  <c:v>1206.7275390625</c:v>
                </c:pt>
                <c:pt idx="207">
                  <c:v>3308</c:v>
                </c:pt>
                <c:pt idx="208">
                  <c:v>1182</c:v>
                </c:pt>
                <c:pt idx="209">
                  <c:v>1009.4375</c:v>
                </c:pt>
                <c:pt idx="210">
                  <c:v>311</c:v>
                </c:pt>
                <c:pt idx="211">
                  <c:v>5330.5</c:v>
                </c:pt>
                <c:pt idx="212">
                  <c:v>2510.15625</c:v>
                </c:pt>
                <c:pt idx="213">
                  <c:v>5708</c:v>
                </c:pt>
                <c:pt idx="214">
                  <c:v>943.5625</c:v>
                </c:pt>
                <c:pt idx="215">
                  <c:v>3962</c:v>
                </c:pt>
                <c:pt idx="216">
                  <c:v>4594.5</c:v>
                </c:pt>
                <c:pt idx="217">
                  <c:v>12532</c:v>
                </c:pt>
                <c:pt idx="218">
                  <c:v>3475</c:v>
                </c:pt>
                <c:pt idx="219">
                  <c:v>6226.171875</c:v>
                </c:pt>
                <c:pt idx="220">
                  <c:v>2939.1875</c:v>
                </c:pt>
                <c:pt idx="221">
                  <c:v>2515.625</c:v>
                </c:pt>
                <c:pt idx="222">
                  <c:v>2454</c:v>
                </c:pt>
                <c:pt idx="223">
                  <c:v>371</c:v>
                </c:pt>
                <c:pt idx="224">
                  <c:v>1695</c:v>
                </c:pt>
                <c:pt idx="225">
                  <c:v>1132.5</c:v>
                </c:pt>
                <c:pt idx="226">
                  <c:v>783</c:v>
                </c:pt>
                <c:pt idx="227">
                  <c:v>969.9853515625</c:v>
                </c:pt>
                <c:pt idx="228">
                  <c:v>7121.994140625</c:v>
                </c:pt>
                <c:pt idx="229">
                  <c:v>1711.48828125</c:v>
                </c:pt>
                <c:pt idx="230">
                  <c:v>990</c:v>
                </c:pt>
                <c:pt idx="231">
                  <c:v>2302.34375</c:v>
                </c:pt>
                <c:pt idx="232">
                  <c:v>2553.50390625</c:v>
                </c:pt>
                <c:pt idx="233">
                  <c:v>2567.578125</c:v>
                </c:pt>
                <c:pt idx="234">
                  <c:v>694</c:v>
                </c:pt>
                <c:pt idx="235">
                  <c:v>3762</c:v>
                </c:pt>
                <c:pt idx="236">
                  <c:v>572.25</c:v>
                </c:pt>
                <c:pt idx="237">
                  <c:v>757.75</c:v>
                </c:pt>
                <c:pt idx="238">
                  <c:v>585</c:v>
                </c:pt>
                <c:pt idx="239">
                  <c:v>1139.25</c:v>
                </c:pt>
                <c:pt idx="240">
                  <c:v>950.4375</c:v>
                </c:pt>
                <c:pt idx="241">
                  <c:v>9068.541015625</c:v>
                </c:pt>
                <c:pt idx="242">
                  <c:v>1165.3984375</c:v>
                </c:pt>
                <c:pt idx="243">
                  <c:v>1162.5</c:v>
                </c:pt>
                <c:pt idx="244">
                  <c:v>9152.34375</c:v>
                </c:pt>
                <c:pt idx="245">
                  <c:v>7228</c:v>
                </c:pt>
                <c:pt idx="246">
                  <c:v>4593.75</c:v>
                </c:pt>
              </c:numCache>
            </c:numRef>
          </c:xVal>
          <c:yVal>
            <c:numRef>
              <c:f>results_complex_200!$L$2:$L$248</c:f>
              <c:numCache>
                <c:formatCode>General</c:formatCode>
                <c:ptCount val="247"/>
                <c:pt idx="0">
                  <c:v>63.14</c:v>
                </c:pt>
                <c:pt idx="1">
                  <c:v>457.19</c:v>
                </c:pt>
                <c:pt idx="2">
                  <c:v>60.56</c:v>
                </c:pt>
                <c:pt idx="3">
                  <c:v>61.44</c:v>
                </c:pt>
                <c:pt idx="4">
                  <c:v>99.3</c:v>
                </c:pt>
                <c:pt idx="5">
                  <c:v>83.71</c:v>
                </c:pt>
                <c:pt idx="6">
                  <c:v>69.03</c:v>
                </c:pt>
                <c:pt idx="7">
                  <c:v>91.57</c:v>
                </c:pt>
                <c:pt idx="8">
                  <c:v>68.97</c:v>
                </c:pt>
                <c:pt idx="9">
                  <c:v>175.97</c:v>
                </c:pt>
                <c:pt idx="10">
                  <c:v>211.26</c:v>
                </c:pt>
                <c:pt idx="11">
                  <c:v>176.48</c:v>
                </c:pt>
                <c:pt idx="12">
                  <c:v>285.51</c:v>
                </c:pt>
                <c:pt idx="13">
                  <c:v>112.25</c:v>
                </c:pt>
                <c:pt idx="14">
                  <c:v>71.709999999999994</c:v>
                </c:pt>
                <c:pt idx="15">
                  <c:v>89.87</c:v>
                </c:pt>
                <c:pt idx="16">
                  <c:v>141.88</c:v>
                </c:pt>
                <c:pt idx="17">
                  <c:v>495.73</c:v>
                </c:pt>
                <c:pt idx="18">
                  <c:v>210.31</c:v>
                </c:pt>
                <c:pt idx="19">
                  <c:v>447.39</c:v>
                </c:pt>
                <c:pt idx="20">
                  <c:v>106.92</c:v>
                </c:pt>
                <c:pt idx="21">
                  <c:v>73.42</c:v>
                </c:pt>
                <c:pt idx="22">
                  <c:v>369.29</c:v>
                </c:pt>
                <c:pt idx="23">
                  <c:v>637.76</c:v>
                </c:pt>
                <c:pt idx="24">
                  <c:v>350.29</c:v>
                </c:pt>
                <c:pt idx="25">
                  <c:v>96.8</c:v>
                </c:pt>
                <c:pt idx="26">
                  <c:v>189.21</c:v>
                </c:pt>
                <c:pt idx="27">
                  <c:v>77.47</c:v>
                </c:pt>
                <c:pt idx="28">
                  <c:v>110.09</c:v>
                </c:pt>
                <c:pt idx="29">
                  <c:v>229.07</c:v>
                </c:pt>
                <c:pt idx="30">
                  <c:v>76.41</c:v>
                </c:pt>
                <c:pt idx="31">
                  <c:v>108.21</c:v>
                </c:pt>
                <c:pt idx="32">
                  <c:v>288.31</c:v>
                </c:pt>
                <c:pt idx="33">
                  <c:v>176.17</c:v>
                </c:pt>
                <c:pt idx="34">
                  <c:v>95.32</c:v>
                </c:pt>
                <c:pt idx="35">
                  <c:v>111.9</c:v>
                </c:pt>
                <c:pt idx="36">
                  <c:v>119.12</c:v>
                </c:pt>
                <c:pt idx="37">
                  <c:v>65.52</c:v>
                </c:pt>
                <c:pt idx="38">
                  <c:v>93.76</c:v>
                </c:pt>
                <c:pt idx="39">
                  <c:v>77.88</c:v>
                </c:pt>
                <c:pt idx="40">
                  <c:v>146.21</c:v>
                </c:pt>
                <c:pt idx="41">
                  <c:v>98.16</c:v>
                </c:pt>
                <c:pt idx="42">
                  <c:v>66.14</c:v>
                </c:pt>
                <c:pt idx="43">
                  <c:v>82.88</c:v>
                </c:pt>
                <c:pt idx="44">
                  <c:v>73.02</c:v>
                </c:pt>
                <c:pt idx="45">
                  <c:v>164.34</c:v>
                </c:pt>
                <c:pt idx="46">
                  <c:v>168.23</c:v>
                </c:pt>
                <c:pt idx="47">
                  <c:v>57.5</c:v>
                </c:pt>
                <c:pt idx="48">
                  <c:v>123.08</c:v>
                </c:pt>
                <c:pt idx="49">
                  <c:v>97.51</c:v>
                </c:pt>
                <c:pt idx="50">
                  <c:v>44.87</c:v>
                </c:pt>
                <c:pt idx="51">
                  <c:v>382.02</c:v>
                </c:pt>
                <c:pt idx="52">
                  <c:v>162.69</c:v>
                </c:pt>
                <c:pt idx="53">
                  <c:v>137.16</c:v>
                </c:pt>
                <c:pt idx="54">
                  <c:v>134.6</c:v>
                </c:pt>
                <c:pt idx="55">
                  <c:v>62.01</c:v>
                </c:pt>
                <c:pt idx="56">
                  <c:v>237.81</c:v>
                </c:pt>
                <c:pt idx="57">
                  <c:v>93.77</c:v>
                </c:pt>
                <c:pt idx="58">
                  <c:v>182.15</c:v>
                </c:pt>
                <c:pt idx="59">
                  <c:v>100.54</c:v>
                </c:pt>
                <c:pt idx="60">
                  <c:v>148</c:v>
                </c:pt>
                <c:pt idx="61">
                  <c:v>82.57</c:v>
                </c:pt>
                <c:pt idx="62">
                  <c:v>124.43</c:v>
                </c:pt>
                <c:pt idx="63">
                  <c:v>62.19</c:v>
                </c:pt>
                <c:pt idx="64">
                  <c:v>271.64999999999998</c:v>
                </c:pt>
                <c:pt idx="65">
                  <c:v>41.37</c:v>
                </c:pt>
                <c:pt idx="66">
                  <c:v>101.73</c:v>
                </c:pt>
                <c:pt idx="67">
                  <c:v>228.14</c:v>
                </c:pt>
                <c:pt idx="68">
                  <c:v>57.09</c:v>
                </c:pt>
                <c:pt idx="69">
                  <c:v>92.5</c:v>
                </c:pt>
                <c:pt idx="70">
                  <c:v>42.9</c:v>
                </c:pt>
                <c:pt idx="71">
                  <c:v>61.4</c:v>
                </c:pt>
                <c:pt idx="72">
                  <c:v>275.87</c:v>
                </c:pt>
                <c:pt idx="73">
                  <c:v>99.3</c:v>
                </c:pt>
                <c:pt idx="74">
                  <c:v>110.94</c:v>
                </c:pt>
                <c:pt idx="75">
                  <c:v>57.23</c:v>
                </c:pt>
                <c:pt idx="76">
                  <c:v>39.5</c:v>
                </c:pt>
                <c:pt idx="77">
                  <c:v>50.32</c:v>
                </c:pt>
                <c:pt idx="78">
                  <c:v>76.23</c:v>
                </c:pt>
                <c:pt idx="79">
                  <c:v>83.26</c:v>
                </c:pt>
                <c:pt idx="80">
                  <c:v>123.26</c:v>
                </c:pt>
                <c:pt idx="81">
                  <c:v>604.05999999999995</c:v>
                </c:pt>
                <c:pt idx="82">
                  <c:v>175.75</c:v>
                </c:pt>
                <c:pt idx="83">
                  <c:v>145.96</c:v>
                </c:pt>
                <c:pt idx="84">
                  <c:v>118.84</c:v>
                </c:pt>
                <c:pt idx="85">
                  <c:v>65.69</c:v>
                </c:pt>
                <c:pt idx="86">
                  <c:v>66.87</c:v>
                </c:pt>
                <c:pt idx="87">
                  <c:v>109.79</c:v>
                </c:pt>
                <c:pt idx="88">
                  <c:v>88.92</c:v>
                </c:pt>
                <c:pt idx="89">
                  <c:v>284.36</c:v>
                </c:pt>
                <c:pt idx="90">
                  <c:v>104.4</c:v>
                </c:pt>
                <c:pt idx="91">
                  <c:v>90.12</c:v>
                </c:pt>
                <c:pt idx="92">
                  <c:v>113.34</c:v>
                </c:pt>
                <c:pt idx="93">
                  <c:v>57.39</c:v>
                </c:pt>
                <c:pt idx="94">
                  <c:v>47.78</c:v>
                </c:pt>
                <c:pt idx="95">
                  <c:v>55.56</c:v>
                </c:pt>
                <c:pt idx="96">
                  <c:v>53.26</c:v>
                </c:pt>
                <c:pt idx="97">
                  <c:v>105.28</c:v>
                </c:pt>
                <c:pt idx="98">
                  <c:v>146.69999999999999</c:v>
                </c:pt>
                <c:pt idx="99">
                  <c:v>499.17</c:v>
                </c:pt>
                <c:pt idx="100">
                  <c:v>61.44</c:v>
                </c:pt>
                <c:pt idx="101">
                  <c:v>121.09</c:v>
                </c:pt>
                <c:pt idx="102">
                  <c:v>223.93</c:v>
                </c:pt>
                <c:pt idx="103">
                  <c:v>96.46</c:v>
                </c:pt>
                <c:pt idx="104">
                  <c:v>61.83</c:v>
                </c:pt>
                <c:pt idx="105">
                  <c:v>67.61</c:v>
                </c:pt>
                <c:pt idx="106">
                  <c:v>224.08</c:v>
                </c:pt>
                <c:pt idx="107">
                  <c:v>132.65</c:v>
                </c:pt>
                <c:pt idx="108">
                  <c:v>97.1</c:v>
                </c:pt>
                <c:pt idx="109">
                  <c:v>65.84</c:v>
                </c:pt>
                <c:pt idx="110">
                  <c:v>267.43</c:v>
                </c:pt>
                <c:pt idx="111">
                  <c:v>123.5</c:v>
                </c:pt>
                <c:pt idx="112">
                  <c:v>252.32</c:v>
                </c:pt>
                <c:pt idx="113">
                  <c:v>74.8</c:v>
                </c:pt>
                <c:pt idx="114">
                  <c:v>92.01</c:v>
                </c:pt>
                <c:pt idx="115">
                  <c:v>71.430000000000007</c:v>
                </c:pt>
                <c:pt idx="116">
                  <c:v>103.38</c:v>
                </c:pt>
                <c:pt idx="117">
                  <c:v>136.93</c:v>
                </c:pt>
                <c:pt idx="118">
                  <c:v>60.84</c:v>
                </c:pt>
                <c:pt idx="119">
                  <c:v>141.29</c:v>
                </c:pt>
                <c:pt idx="120">
                  <c:v>583.45000000000005</c:v>
                </c:pt>
                <c:pt idx="121">
                  <c:v>61.55</c:v>
                </c:pt>
                <c:pt idx="122">
                  <c:v>90.9</c:v>
                </c:pt>
                <c:pt idx="123">
                  <c:v>124.22</c:v>
                </c:pt>
                <c:pt idx="124">
                  <c:v>77.010000000000005</c:v>
                </c:pt>
                <c:pt idx="125">
                  <c:v>221.42</c:v>
                </c:pt>
                <c:pt idx="126">
                  <c:v>82.55</c:v>
                </c:pt>
                <c:pt idx="127">
                  <c:v>60.28</c:v>
                </c:pt>
                <c:pt idx="128">
                  <c:v>248.25</c:v>
                </c:pt>
                <c:pt idx="129">
                  <c:v>135.82</c:v>
                </c:pt>
                <c:pt idx="130">
                  <c:v>130.44999999999999</c:v>
                </c:pt>
                <c:pt idx="131">
                  <c:v>146.91</c:v>
                </c:pt>
                <c:pt idx="132">
                  <c:v>60.28</c:v>
                </c:pt>
                <c:pt idx="133">
                  <c:v>163.22999999999999</c:v>
                </c:pt>
                <c:pt idx="134">
                  <c:v>46.13</c:v>
                </c:pt>
                <c:pt idx="135">
                  <c:v>107.01</c:v>
                </c:pt>
                <c:pt idx="136">
                  <c:v>143.91</c:v>
                </c:pt>
                <c:pt idx="137">
                  <c:v>73.75</c:v>
                </c:pt>
                <c:pt idx="138">
                  <c:v>68.150000000000006</c:v>
                </c:pt>
                <c:pt idx="139">
                  <c:v>161.99</c:v>
                </c:pt>
                <c:pt idx="140">
                  <c:v>56.26</c:v>
                </c:pt>
                <c:pt idx="141">
                  <c:v>63.42</c:v>
                </c:pt>
                <c:pt idx="142">
                  <c:v>262.20999999999998</c:v>
                </c:pt>
                <c:pt idx="143">
                  <c:v>161.57</c:v>
                </c:pt>
                <c:pt idx="144">
                  <c:v>57.36</c:v>
                </c:pt>
                <c:pt idx="145">
                  <c:v>91.94</c:v>
                </c:pt>
                <c:pt idx="146">
                  <c:v>107.87</c:v>
                </c:pt>
                <c:pt idx="147">
                  <c:v>68.77</c:v>
                </c:pt>
                <c:pt idx="148">
                  <c:v>73.040000000000006</c:v>
                </c:pt>
                <c:pt idx="149">
                  <c:v>179.28</c:v>
                </c:pt>
                <c:pt idx="150">
                  <c:v>87.98</c:v>
                </c:pt>
                <c:pt idx="151">
                  <c:v>69.010000000000005</c:v>
                </c:pt>
                <c:pt idx="152">
                  <c:v>153.49</c:v>
                </c:pt>
                <c:pt idx="153">
                  <c:v>190.08</c:v>
                </c:pt>
                <c:pt idx="154">
                  <c:v>104.72</c:v>
                </c:pt>
                <c:pt idx="155">
                  <c:v>163.06</c:v>
                </c:pt>
                <c:pt idx="156">
                  <c:v>93.35</c:v>
                </c:pt>
                <c:pt idx="157">
                  <c:v>64.81</c:v>
                </c:pt>
                <c:pt idx="158">
                  <c:v>72.58</c:v>
                </c:pt>
                <c:pt idx="159">
                  <c:v>108.64</c:v>
                </c:pt>
                <c:pt idx="160">
                  <c:v>103.37</c:v>
                </c:pt>
                <c:pt idx="161">
                  <c:v>61.9</c:v>
                </c:pt>
                <c:pt idx="162">
                  <c:v>120.92</c:v>
                </c:pt>
                <c:pt idx="163">
                  <c:v>53.55</c:v>
                </c:pt>
                <c:pt idx="164">
                  <c:v>131.57</c:v>
                </c:pt>
                <c:pt idx="165">
                  <c:v>113.72</c:v>
                </c:pt>
                <c:pt idx="166">
                  <c:v>55.04</c:v>
                </c:pt>
                <c:pt idx="167">
                  <c:v>42.36</c:v>
                </c:pt>
                <c:pt idx="168">
                  <c:v>61.61</c:v>
                </c:pt>
                <c:pt idx="169">
                  <c:v>62.57</c:v>
                </c:pt>
                <c:pt idx="170">
                  <c:v>70.349999999999994</c:v>
                </c:pt>
                <c:pt idx="171">
                  <c:v>118.01</c:v>
                </c:pt>
                <c:pt idx="172">
                  <c:v>157.56</c:v>
                </c:pt>
                <c:pt idx="173">
                  <c:v>60.81</c:v>
                </c:pt>
                <c:pt idx="174">
                  <c:v>66.36</c:v>
                </c:pt>
                <c:pt idx="175">
                  <c:v>67.5</c:v>
                </c:pt>
                <c:pt idx="176">
                  <c:v>86.99</c:v>
                </c:pt>
                <c:pt idx="177">
                  <c:v>84.05</c:v>
                </c:pt>
                <c:pt idx="178">
                  <c:v>205.23</c:v>
                </c:pt>
                <c:pt idx="179">
                  <c:v>72.86</c:v>
                </c:pt>
                <c:pt idx="180">
                  <c:v>82.08</c:v>
                </c:pt>
                <c:pt idx="181">
                  <c:v>119.93</c:v>
                </c:pt>
                <c:pt idx="182">
                  <c:v>139.99</c:v>
                </c:pt>
                <c:pt idx="183">
                  <c:v>137.33000000000001</c:v>
                </c:pt>
                <c:pt idx="184">
                  <c:v>137.55000000000001</c:v>
                </c:pt>
                <c:pt idx="185">
                  <c:v>190.68</c:v>
                </c:pt>
                <c:pt idx="186">
                  <c:v>58.85</c:v>
                </c:pt>
                <c:pt idx="187">
                  <c:v>39.67</c:v>
                </c:pt>
                <c:pt idx="188">
                  <c:v>168.37</c:v>
                </c:pt>
                <c:pt idx="189">
                  <c:v>59.61</c:v>
                </c:pt>
                <c:pt idx="190">
                  <c:v>68.290000000000006</c:v>
                </c:pt>
                <c:pt idx="191">
                  <c:v>107.04</c:v>
                </c:pt>
                <c:pt idx="192">
                  <c:v>94.16</c:v>
                </c:pt>
                <c:pt idx="193">
                  <c:v>159.84</c:v>
                </c:pt>
                <c:pt idx="194">
                  <c:v>80.44</c:v>
                </c:pt>
                <c:pt idx="195">
                  <c:v>162.88</c:v>
                </c:pt>
                <c:pt idx="196">
                  <c:v>74.16</c:v>
                </c:pt>
                <c:pt idx="197">
                  <c:v>145.85</c:v>
                </c:pt>
                <c:pt idx="198">
                  <c:v>55.92</c:v>
                </c:pt>
                <c:pt idx="199">
                  <c:v>287.22000000000003</c:v>
                </c:pt>
                <c:pt idx="200">
                  <c:v>77.81</c:v>
                </c:pt>
                <c:pt idx="201">
                  <c:v>72.599999999999994</c:v>
                </c:pt>
                <c:pt idx="202">
                  <c:v>89.52</c:v>
                </c:pt>
                <c:pt idx="203">
                  <c:v>87.38</c:v>
                </c:pt>
                <c:pt idx="204">
                  <c:v>88.95</c:v>
                </c:pt>
                <c:pt idx="205">
                  <c:v>54.02</c:v>
                </c:pt>
                <c:pt idx="206">
                  <c:v>110.52</c:v>
                </c:pt>
                <c:pt idx="207">
                  <c:v>157.30000000000001</c:v>
                </c:pt>
                <c:pt idx="208">
                  <c:v>84.78</c:v>
                </c:pt>
                <c:pt idx="209">
                  <c:v>55.09</c:v>
                </c:pt>
                <c:pt idx="210">
                  <c:v>21.07</c:v>
                </c:pt>
                <c:pt idx="211">
                  <c:v>197.57</c:v>
                </c:pt>
                <c:pt idx="212">
                  <c:v>107.29</c:v>
                </c:pt>
                <c:pt idx="213">
                  <c:v>102.47</c:v>
                </c:pt>
                <c:pt idx="214">
                  <c:v>89.92</c:v>
                </c:pt>
                <c:pt idx="215">
                  <c:v>145.52000000000001</c:v>
                </c:pt>
                <c:pt idx="216">
                  <c:v>81.93</c:v>
                </c:pt>
                <c:pt idx="217">
                  <c:v>361.03</c:v>
                </c:pt>
                <c:pt idx="218">
                  <c:v>64.52</c:v>
                </c:pt>
                <c:pt idx="219">
                  <c:v>267.41000000000003</c:v>
                </c:pt>
                <c:pt idx="220">
                  <c:v>62.93</c:v>
                </c:pt>
                <c:pt idx="221">
                  <c:v>75.069999999999993</c:v>
                </c:pt>
                <c:pt idx="222">
                  <c:v>74.48</c:v>
                </c:pt>
                <c:pt idx="223">
                  <c:v>57.19</c:v>
                </c:pt>
                <c:pt idx="224">
                  <c:v>102.2</c:v>
                </c:pt>
                <c:pt idx="225">
                  <c:v>94.03</c:v>
                </c:pt>
                <c:pt idx="226">
                  <c:v>78.28</c:v>
                </c:pt>
                <c:pt idx="227">
                  <c:v>57.55</c:v>
                </c:pt>
                <c:pt idx="228">
                  <c:v>115.02</c:v>
                </c:pt>
                <c:pt idx="229">
                  <c:v>119.07</c:v>
                </c:pt>
                <c:pt idx="230">
                  <c:v>92.97</c:v>
                </c:pt>
                <c:pt idx="231">
                  <c:v>138.16999999999999</c:v>
                </c:pt>
                <c:pt idx="232">
                  <c:v>134.94999999999999</c:v>
                </c:pt>
                <c:pt idx="233">
                  <c:v>196.07</c:v>
                </c:pt>
                <c:pt idx="234">
                  <c:v>45.16</c:v>
                </c:pt>
                <c:pt idx="235">
                  <c:v>114.38</c:v>
                </c:pt>
                <c:pt idx="236">
                  <c:v>66.48</c:v>
                </c:pt>
                <c:pt idx="237">
                  <c:v>54.34</c:v>
                </c:pt>
                <c:pt idx="238">
                  <c:v>83.74</c:v>
                </c:pt>
                <c:pt idx="239">
                  <c:v>73.38</c:v>
                </c:pt>
                <c:pt idx="240">
                  <c:v>71.27</c:v>
                </c:pt>
                <c:pt idx="241">
                  <c:v>288.02</c:v>
                </c:pt>
                <c:pt idx="242">
                  <c:v>59.57</c:v>
                </c:pt>
                <c:pt idx="243">
                  <c:v>89.36</c:v>
                </c:pt>
                <c:pt idx="244">
                  <c:v>202.18</c:v>
                </c:pt>
                <c:pt idx="245">
                  <c:v>233.9</c:v>
                </c:pt>
                <c:pt idx="246">
                  <c:v>88.5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9-429E-B2E5-250D0A582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20768"/>
        <c:axId val="99723168"/>
      </c:scatterChart>
      <c:valAx>
        <c:axId val="9972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3168"/>
        <c:crosses val="autoZero"/>
        <c:crossBetween val="midCat"/>
      </c:valAx>
      <c:valAx>
        <c:axId val="99723168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0</xdr:row>
      <xdr:rowOff>11430</xdr:rowOff>
    </xdr:from>
    <xdr:to>
      <xdr:col>19</xdr:col>
      <xdr:colOff>533400</xdr:colOff>
      <xdr:row>15</xdr:row>
      <xdr:rowOff>11430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71EF9A09-2BD3-3EC6-5385-4958FD5D7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15</xdr:row>
      <xdr:rowOff>41910</xdr:rowOff>
    </xdr:from>
    <xdr:to>
      <xdr:col>19</xdr:col>
      <xdr:colOff>571500</xdr:colOff>
      <xdr:row>30</xdr:row>
      <xdr:rowOff>41910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82843583-C9AB-D6B8-3B3C-EC7981858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297180</xdr:colOff>
      <xdr:row>30</xdr:row>
      <xdr:rowOff>57150</xdr:rowOff>
    </xdr:from>
    <xdr:to>
      <xdr:col>19</xdr:col>
      <xdr:colOff>601980</xdr:colOff>
      <xdr:row>45</xdr:row>
      <xdr:rowOff>57150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F22FADD2-B159-5797-9C6F-AAEE28955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320040</xdr:colOff>
      <xdr:row>45</xdr:row>
      <xdr:rowOff>57150</xdr:rowOff>
    </xdr:from>
    <xdr:to>
      <xdr:col>20</xdr:col>
      <xdr:colOff>15240</xdr:colOff>
      <xdr:row>60</xdr:row>
      <xdr:rowOff>57150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23CB13A0-A933-E064-64E8-E17E6A1D6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8D48-C5D4-4170-86F2-D20FE11008C4}">
  <dimension ref="A1:M248"/>
  <sheetViews>
    <sheetView tabSelected="1" workbookViewId="0">
      <selection activeCell="K43" sqref="K4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 t="s">
        <v>12</v>
      </c>
      <c r="C2">
        <v>5</v>
      </c>
      <c r="D2" t="s">
        <v>13</v>
      </c>
      <c r="E2">
        <v>1381</v>
      </c>
      <c r="F2" s="2">
        <f>SERIESSUM(K2, 0, 1, _xlfn.SEQUENCE(C2, 1, 1, 0))*E2</f>
        <v>2675.6875</v>
      </c>
      <c r="G2">
        <v>4.8819689167191001E-4</v>
      </c>
      <c r="H2">
        <v>379</v>
      </c>
      <c r="I2" s="1">
        <v>1.1631039124222001E-5</v>
      </c>
      <c r="J2">
        <v>0.15319847317973401</v>
      </c>
      <c r="K2">
        <v>0.5</v>
      </c>
      <c r="L2">
        <v>63.14</v>
      </c>
      <c r="M2">
        <v>54.339999999999897</v>
      </c>
    </row>
    <row r="3" spans="1:13" x14ac:dyDescent="0.3">
      <c r="A3">
        <v>2</v>
      </c>
      <c r="B3" t="s">
        <v>12</v>
      </c>
      <c r="C3">
        <v>6</v>
      </c>
      <c r="D3" t="s">
        <v>14</v>
      </c>
      <c r="E3">
        <v>2743</v>
      </c>
      <c r="F3" s="2">
        <f t="shared" ref="F3:F66" si="0">SERIESSUM(K3, 0, 1, _xlfn.SEQUENCE(C3, 1, 1, 0))*E3</f>
        <v>16458</v>
      </c>
      <c r="G3">
        <v>1.5011973023372E-4</v>
      </c>
      <c r="H3">
        <v>82</v>
      </c>
      <c r="I3" s="1">
        <v>4.0652171521178198E-5</v>
      </c>
      <c r="J3">
        <v>0.122573888476692</v>
      </c>
      <c r="K3">
        <v>1</v>
      </c>
      <c r="L3">
        <v>457.19</v>
      </c>
      <c r="M3">
        <v>48.63</v>
      </c>
    </row>
    <row r="4" spans="1:13" x14ac:dyDescent="0.3">
      <c r="A4">
        <v>3</v>
      </c>
      <c r="B4" t="s">
        <v>12</v>
      </c>
      <c r="C4">
        <v>2</v>
      </c>
      <c r="D4" t="s">
        <v>15</v>
      </c>
      <c r="E4">
        <v>1287</v>
      </c>
      <c r="F4" s="2">
        <f t="shared" si="0"/>
        <v>1930.5</v>
      </c>
      <c r="G4">
        <v>3.5532146010784302E-4</v>
      </c>
      <c r="H4">
        <v>186</v>
      </c>
      <c r="I4" s="1">
        <v>3.3310254152003301E-5</v>
      </c>
      <c r="J4">
        <v>0.109576499728787</v>
      </c>
      <c r="K4">
        <v>0.5</v>
      </c>
      <c r="L4">
        <v>60.56</v>
      </c>
      <c r="M4">
        <v>54.64</v>
      </c>
    </row>
    <row r="5" spans="1:13" x14ac:dyDescent="0.3">
      <c r="A5">
        <v>4</v>
      </c>
      <c r="B5" t="s">
        <v>12</v>
      </c>
      <c r="C5">
        <v>3</v>
      </c>
      <c r="D5" t="s">
        <v>16</v>
      </c>
      <c r="E5">
        <v>954</v>
      </c>
      <c r="F5" s="2">
        <f t="shared" si="0"/>
        <v>1669.5</v>
      </c>
      <c r="G5">
        <v>7.9215689470980399E-4</v>
      </c>
      <c r="H5">
        <v>253</v>
      </c>
      <c r="I5">
        <v>1.8136039704248999E-4</v>
      </c>
      <c r="J5">
        <v>0.170436266909332</v>
      </c>
      <c r="K5">
        <v>0.5</v>
      </c>
      <c r="L5">
        <v>61.44</v>
      </c>
      <c r="M5">
        <v>51.349999999999902</v>
      </c>
    </row>
    <row r="6" spans="1:13" x14ac:dyDescent="0.3">
      <c r="A6">
        <v>5</v>
      </c>
      <c r="B6" t="s">
        <v>12</v>
      </c>
      <c r="C6">
        <v>6</v>
      </c>
      <c r="D6" t="s">
        <v>15</v>
      </c>
      <c r="E6">
        <v>797</v>
      </c>
      <c r="F6" s="2">
        <f t="shared" si="0"/>
        <v>2620.6044921875</v>
      </c>
      <c r="G6">
        <v>2.8791426513063002E-4</v>
      </c>
      <c r="H6">
        <v>203</v>
      </c>
      <c r="I6">
        <v>6.7143133573486103E-4</v>
      </c>
      <c r="J6">
        <v>0.215181292159011</v>
      </c>
      <c r="K6">
        <v>0.75</v>
      </c>
      <c r="L6">
        <v>99.3</v>
      </c>
      <c r="M6">
        <v>52.53</v>
      </c>
    </row>
    <row r="7" spans="1:13" x14ac:dyDescent="0.3">
      <c r="A7">
        <v>6</v>
      </c>
      <c r="B7" t="s">
        <v>12</v>
      </c>
      <c r="C7">
        <v>4</v>
      </c>
      <c r="D7" t="s">
        <v>16</v>
      </c>
      <c r="E7">
        <v>1030</v>
      </c>
      <c r="F7" s="2">
        <f t="shared" si="0"/>
        <v>1931.25</v>
      </c>
      <c r="G7">
        <v>7.2777765603991302E-4</v>
      </c>
      <c r="H7">
        <v>508</v>
      </c>
      <c r="I7" s="1">
        <v>5.6088478387860998E-5</v>
      </c>
      <c r="J7">
        <v>0.252074008884</v>
      </c>
      <c r="K7">
        <v>0.5</v>
      </c>
      <c r="L7">
        <v>83.71</v>
      </c>
      <c r="M7">
        <v>52.37</v>
      </c>
    </row>
    <row r="8" spans="1:13" x14ac:dyDescent="0.3">
      <c r="A8">
        <v>7</v>
      </c>
      <c r="B8" t="s">
        <v>12</v>
      </c>
      <c r="C8">
        <v>3</v>
      </c>
      <c r="D8" t="s">
        <v>14</v>
      </c>
      <c r="E8">
        <v>387</v>
      </c>
      <c r="F8" s="2">
        <f t="shared" si="0"/>
        <v>1161</v>
      </c>
      <c r="G8">
        <v>2.0945921538325301E-4</v>
      </c>
      <c r="H8">
        <v>226</v>
      </c>
      <c r="I8" s="1">
        <v>3.8104862775321997E-5</v>
      </c>
      <c r="J8">
        <v>0.18005336699515001</v>
      </c>
      <c r="K8">
        <v>1</v>
      </c>
      <c r="L8">
        <v>69.03</v>
      </c>
      <c r="M8">
        <v>53.769999999999897</v>
      </c>
    </row>
    <row r="9" spans="1:13" x14ac:dyDescent="0.3">
      <c r="A9">
        <v>8</v>
      </c>
      <c r="B9" t="s">
        <v>12</v>
      </c>
      <c r="C9">
        <v>1</v>
      </c>
      <c r="D9" t="s">
        <v>13</v>
      </c>
      <c r="E9">
        <v>1293</v>
      </c>
      <c r="F9" s="2">
        <f t="shared" si="0"/>
        <v>1293</v>
      </c>
      <c r="G9">
        <v>2.1801391028948501E-4</v>
      </c>
      <c r="H9">
        <v>427</v>
      </c>
      <c r="I9">
        <v>2.4864745734618502E-4</v>
      </c>
      <c r="J9">
        <v>0.17831431607284201</v>
      </c>
      <c r="K9">
        <v>0.5</v>
      </c>
      <c r="L9">
        <v>91.57</v>
      </c>
      <c r="M9">
        <v>52.03</v>
      </c>
    </row>
    <row r="10" spans="1:13" x14ac:dyDescent="0.3">
      <c r="A10">
        <v>9</v>
      </c>
      <c r="B10" t="s">
        <v>12</v>
      </c>
      <c r="C10">
        <v>2</v>
      </c>
      <c r="D10" t="s">
        <v>17</v>
      </c>
      <c r="E10">
        <v>524</v>
      </c>
      <c r="F10" s="2">
        <f t="shared" si="0"/>
        <v>917</v>
      </c>
      <c r="G10">
        <v>5.0112804766387002E-4</v>
      </c>
      <c r="H10">
        <v>141</v>
      </c>
      <c r="I10">
        <v>1.2781840216411001E-4</v>
      </c>
      <c r="J10">
        <v>0.12703183368122101</v>
      </c>
      <c r="K10">
        <v>0.75</v>
      </c>
      <c r="L10">
        <v>68.97</v>
      </c>
      <c r="M10">
        <v>52.3599999999999</v>
      </c>
    </row>
    <row r="11" spans="1:13" x14ac:dyDescent="0.3">
      <c r="A11">
        <v>10</v>
      </c>
      <c r="B11" t="s">
        <v>12</v>
      </c>
      <c r="C11">
        <v>4</v>
      </c>
      <c r="D11" t="s">
        <v>15</v>
      </c>
      <c r="E11">
        <v>2007</v>
      </c>
      <c r="F11" s="2">
        <f t="shared" si="0"/>
        <v>5487.890625</v>
      </c>
      <c r="G11">
        <v>1.5213961859848399E-4</v>
      </c>
      <c r="H11">
        <v>67</v>
      </c>
      <c r="I11" s="1">
        <v>2.0532474374689099E-5</v>
      </c>
      <c r="J11">
        <v>0.18772956511851299</v>
      </c>
      <c r="K11">
        <v>0.75</v>
      </c>
      <c r="L11">
        <v>175.97</v>
      </c>
      <c r="M11">
        <v>54.79</v>
      </c>
    </row>
    <row r="12" spans="1:13" x14ac:dyDescent="0.3">
      <c r="A12">
        <v>11</v>
      </c>
      <c r="B12" t="s">
        <v>12</v>
      </c>
      <c r="C12">
        <v>5</v>
      </c>
      <c r="D12" t="s">
        <v>13</v>
      </c>
      <c r="E12">
        <v>1630</v>
      </c>
      <c r="F12" s="2">
        <f t="shared" si="0"/>
        <v>8150</v>
      </c>
      <c r="G12">
        <v>1.7143884711109001E-4</v>
      </c>
      <c r="H12">
        <v>431</v>
      </c>
      <c r="I12">
        <v>8.5456817598739902E-4</v>
      </c>
      <c r="J12">
        <v>0.154211443335803</v>
      </c>
      <c r="K12">
        <v>1</v>
      </c>
      <c r="L12">
        <v>211.26</v>
      </c>
      <c r="M12">
        <v>51.59</v>
      </c>
    </row>
    <row r="13" spans="1:13" x14ac:dyDescent="0.3">
      <c r="A13">
        <v>12</v>
      </c>
      <c r="B13" t="s">
        <v>12</v>
      </c>
      <c r="C13">
        <v>5</v>
      </c>
      <c r="D13" t="s">
        <v>16</v>
      </c>
      <c r="E13">
        <v>2400</v>
      </c>
      <c r="F13" s="2">
        <f t="shared" si="0"/>
        <v>4650</v>
      </c>
      <c r="G13">
        <v>2.9577475229830498E-4</v>
      </c>
      <c r="H13">
        <v>138</v>
      </c>
      <c r="I13">
        <v>5.9476490898030304E-4</v>
      </c>
      <c r="J13">
        <v>0.210785500038179</v>
      </c>
      <c r="K13">
        <v>0.5</v>
      </c>
      <c r="L13">
        <v>176.48</v>
      </c>
      <c r="M13">
        <v>52.1</v>
      </c>
    </row>
    <row r="14" spans="1:13" x14ac:dyDescent="0.3">
      <c r="A14">
        <v>13</v>
      </c>
      <c r="B14" t="s">
        <v>12</v>
      </c>
      <c r="C14">
        <v>4</v>
      </c>
      <c r="D14" t="s">
        <v>13</v>
      </c>
      <c r="E14">
        <v>3020</v>
      </c>
      <c r="F14" s="2">
        <f t="shared" si="0"/>
        <v>8257.8125</v>
      </c>
      <c r="G14">
        <v>2.7358970402140598E-4</v>
      </c>
      <c r="H14">
        <v>68</v>
      </c>
      <c r="I14" s="1">
        <v>7.6110348576525705E-5</v>
      </c>
      <c r="J14">
        <v>0.1207774617747</v>
      </c>
      <c r="K14">
        <v>0.75</v>
      </c>
      <c r="L14">
        <v>285.51</v>
      </c>
      <c r="M14">
        <v>51.18</v>
      </c>
    </row>
    <row r="15" spans="1:13" x14ac:dyDescent="0.3">
      <c r="A15">
        <v>14</v>
      </c>
      <c r="B15" t="s">
        <v>12</v>
      </c>
      <c r="C15">
        <v>1</v>
      </c>
      <c r="D15" t="s">
        <v>17</v>
      </c>
      <c r="E15">
        <v>1784</v>
      </c>
      <c r="F15" s="2">
        <f t="shared" si="0"/>
        <v>1784</v>
      </c>
      <c r="G15">
        <v>2.1613534169811899E-4</v>
      </c>
      <c r="H15">
        <v>146</v>
      </c>
      <c r="I15" s="1">
        <v>2.3894440191830102E-5</v>
      </c>
      <c r="J15">
        <v>0.202099943882945</v>
      </c>
      <c r="K15">
        <v>0.5</v>
      </c>
      <c r="L15">
        <v>112.25</v>
      </c>
      <c r="M15">
        <v>53</v>
      </c>
    </row>
    <row r="16" spans="1:13" x14ac:dyDescent="0.3">
      <c r="A16">
        <v>15</v>
      </c>
      <c r="B16" t="s">
        <v>12</v>
      </c>
      <c r="C16">
        <v>4</v>
      </c>
      <c r="D16" t="s">
        <v>16</v>
      </c>
      <c r="E16">
        <v>557</v>
      </c>
      <c r="F16" s="2">
        <f t="shared" si="0"/>
        <v>1523.046875</v>
      </c>
      <c r="G16">
        <v>1.53225540380753E-4</v>
      </c>
      <c r="H16">
        <v>266</v>
      </c>
      <c r="I16">
        <v>4.15983369857586E-4</v>
      </c>
      <c r="J16">
        <v>0.14210320887605199</v>
      </c>
      <c r="K16">
        <v>0.75</v>
      </c>
      <c r="L16">
        <v>71.709999999999994</v>
      </c>
      <c r="M16">
        <v>54.51</v>
      </c>
    </row>
    <row r="17" spans="1:13" x14ac:dyDescent="0.3">
      <c r="A17">
        <v>16</v>
      </c>
      <c r="B17" t="s">
        <v>12</v>
      </c>
      <c r="C17">
        <v>6</v>
      </c>
      <c r="D17" t="s">
        <v>14</v>
      </c>
      <c r="E17">
        <v>601</v>
      </c>
      <c r="F17" s="2">
        <f t="shared" si="0"/>
        <v>1976.1396484375</v>
      </c>
      <c r="G17">
        <v>1.01980418641456E-4</v>
      </c>
      <c r="H17">
        <v>117</v>
      </c>
      <c r="I17" s="1">
        <v>1.00770698276256E-5</v>
      </c>
      <c r="J17">
        <v>0.10081803507939301</v>
      </c>
      <c r="K17">
        <v>0.75</v>
      </c>
      <c r="L17">
        <v>89.87</v>
      </c>
      <c r="M17">
        <v>53.33</v>
      </c>
    </row>
    <row r="18" spans="1:13" x14ac:dyDescent="0.3">
      <c r="A18">
        <v>17</v>
      </c>
      <c r="B18" t="s">
        <v>12</v>
      </c>
      <c r="C18">
        <v>3</v>
      </c>
      <c r="D18" t="s">
        <v>13</v>
      </c>
      <c r="E18">
        <v>1575</v>
      </c>
      <c r="F18" s="2">
        <f t="shared" si="0"/>
        <v>2756.25</v>
      </c>
      <c r="G18">
        <v>2.039380775139E-4</v>
      </c>
      <c r="H18">
        <v>74</v>
      </c>
      <c r="I18" s="1">
        <v>7.5131373030008395E-5</v>
      </c>
      <c r="J18">
        <v>0.28165945696655897</v>
      </c>
      <c r="K18">
        <v>0.5</v>
      </c>
      <c r="L18">
        <v>141.88</v>
      </c>
      <c r="M18">
        <v>53.98</v>
      </c>
    </row>
    <row r="19" spans="1:13" x14ac:dyDescent="0.3">
      <c r="A19">
        <v>18</v>
      </c>
      <c r="B19" t="s">
        <v>12</v>
      </c>
      <c r="C19">
        <v>6</v>
      </c>
      <c r="D19" t="s">
        <v>13</v>
      </c>
      <c r="E19">
        <v>3689</v>
      </c>
      <c r="F19" s="2">
        <f t="shared" si="0"/>
        <v>22134</v>
      </c>
      <c r="G19">
        <v>2.2924151939694099E-4</v>
      </c>
      <c r="H19">
        <v>66</v>
      </c>
      <c r="I19">
        <v>9.9956670813491802E-4</v>
      </c>
      <c r="J19">
        <v>0.14918317025778799</v>
      </c>
      <c r="K19">
        <v>1</v>
      </c>
      <c r="L19">
        <v>495.73</v>
      </c>
      <c r="M19">
        <v>31.319999999999901</v>
      </c>
    </row>
    <row r="20" spans="1:13" x14ac:dyDescent="0.3">
      <c r="A20">
        <v>19</v>
      </c>
      <c r="B20" t="s">
        <v>12</v>
      </c>
      <c r="C20">
        <v>2</v>
      </c>
      <c r="D20" t="s">
        <v>16</v>
      </c>
      <c r="E20">
        <v>3907</v>
      </c>
      <c r="F20" s="2">
        <f t="shared" si="0"/>
        <v>6837.25</v>
      </c>
      <c r="G20">
        <v>7.3291295695566104E-4</v>
      </c>
      <c r="H20">
        <v>220</v>
      </c>
      <c r="I20" s="1">
        <v>1.6930150458219101E-5</v>
      </c>
      <c r="J20">
        <v>0.17274906650535901</v>
      </c>
      <c r="K20">
        <v>0.75</v>
      </c>
      <c r="L20">
        <v>210.31</v>
      </c>
      <c r="M20">
        <v>51.92</v>
      </c>
    </row>
    <row r="21" spans="1:13" x14ac:dyDescent="0.3">
      <c r="A21">
        <v>20</v>
      </c>
      <c r="B21" t="s">
        <v>12</v>
      </c>
      <c r="C21">
        <v>6</v>
      </c>
      <c r="D21" t="s">
        <v>13</v>
      </c>
      <c r="E21">
        <v>3659</v>
      </c>
      <c r="F21" s="2">
        <f t="shared" si="0"/>
        <v>12031.1064453125</v>
      </c>
      <c r="G21">
        <v>4.2795522142189502E-4</v>
      </c>
      <c r="H21">
        <v>78</v>
      </c>
      <c r="I21">
        <v>1.8283204620507301E-4</v>
      </c>
      <c r="J21">
        <v>0.19072947180236</v>
      </c>
      <c r="K21">
        <v>0.75</v>
      </c>
      <c r="L21">
        <v>447.39</v>
      </c>
      <c r="M21">
        <v>46.2</v>
      </c>
    </row>
    <row r="22" spans="1:13" x14ac:dyDescent="0.3">
      <c r="A22">
        <v>21</v>
      </c>
      <c r="B22" t="s">
        <v>12</v>
      </c>
      <c r="C22">
        <v>6</v>
      </c>
      <c r="D22" t="s">
        <v>13</v>
      </c>
      <c r="E22">
        <v>317</v>
      </c>
      <c r="F22" s="2">
        <f t="shared" si="0"/>
        <v>1902</v>
      </c>
      <c r="G22">
        <v>2.9157685387593398E-4</v>
      </c>
      <c r="H22">
        <v>171</v>
      </c>
      <c r="I22">
        <v>1.9576477554059999E-4</v>
      </c>
      <c r="J22">
        <v>0.25708546686762601</v>
      </c>
      <c r="K22">
        <v>1</v>
      </c>
      <c r="L22">
        <v>106.92</v>
      </c>
      <c r="M22">
        <v>54.12</v>
      </c>
    </row>
    <row r="23" spans="1:13" x14ac:dyDescent="0.3">
      <c r="A23">
        <v>22</v>
      </c>
      <c r="B23" t="s">
        <v>12</v>
      </c>
      <c r="C23">
        <v>3</v>
      </c>
      <c r="D23" t="s">
        <v>16</v>
      </c>
      <c r="E23">
        <v>366</v>
      </c>
      <c r="F23" s="2">
        <f t="shared" si="0"/>
        <v>846.375</v>
      </c>
      <c r="G23">
        <v>3.7769187791322599E-4</v>
      </c>
      <c r="H23">
        <v>254</v>
      </c>
      <c r="I23">
        <v>3.39416982546898E-4</v>
      </c>
      <c r="J23">
        <v>0.24984810830012999</v>
      </c>
      <c r="K23">
        <v>0.75</v>
      </c>
      <c r="L23">
        <v>73.42</v>
      </c>
      <c r="M23">
        <v>51.89</v>
      </c>
    </row>
    <row r="24" spans="1:13" x14ac:dyDescent="0.3">
      <c r="A24">
        <v>23</v>
      </c>
      <c r="B24" t="s">
        <v>12</v>
      </c>
      <c r="C24">
        <v>4</v>
      </c>
      <c r="D24" t="s">
        <v>14</v>
      </c>
      <c r="E24">
        <v>3917</v>
      </c>
      <c r="F24" s="2">
        <f t="shared" si="0"/>
        <v>15668</v>
      </c>
      <c r="G24">
        <v>7.2310464688830802E-4</v>
      </c>
      <c r="H24">
        <v>182</v>
      </c>
      <c r="I24" s="1">
        <v>9.1848894666918206E-5</v>
      </c>
      <c r="J24">
        <v>0.190397587301155</v>
      </c>
      <c r="K24">
        <v>1</v>
      </c>
      <c r="L24">
        <v>369.29</v>
      </c>
      <c r="M24">
        <v>34.15</v>
      </c>
    </row>
    <row r="25" spans="1:13" x14ac:dyDescent="0.3">
      <c r="A25">
        <v>24</v>
      </c>
      <c r="B25" t="s">
        <v>12</v>
      </c>
      <c r="C25">
        <v>4</v>
      </c>
      <c r="D25" t="s">
        <v>15</v>
      </c>
      <c r="E25">
        <v>3419</v>
      </c>
      <c r="F25" s="2">
        <f t="shared" si="0"/>
        <v>13676</v>
      </c>
      <c r="G25">
        <v>7.3956534973601399E-4</v>
      </c>
      <c r="H25">
        <v>77</v>
      </c>
      <c r="I25">
        <v>1.7169516402397599E-4</v>
      </c>
      <c r="J25">
        <v>0.117696744898001</v>
      </c>
      <c r="K25">
        <v>1</v>
      </c>
      <c r="L25">
        <v>637.76</v>
      </c>
      <c r="M25">
        <v>52.23</v>
      </c>
    </row>
    <row r="26" spans="1:13" x14ac:dyDescent="0.3">
      <c r="A26">
        <v>25</v>
      </c>
      <c r="B26" t="s">
        <v>12</v>
      </c>
      <c r="C26">
        <v>3</v>
      </c>
      <c r="D26" t="s">
        <v>17</v>
      </c>
      <c r="E26">
        <v>4077</v>
      </c>
      <c r="F26" s="2">
        <f t="shared" si="0"/>
        <v>9428.0625</v>
      </c>
      <c r="G26">
        <v>9.0199699384993298E-4</v>
      </c>
      <c r="H26">
        <v>148</v>
      </c>
      <c r="I26" s="1">
        <v>4.8887884235215899E-5</v>
      </c>
      <c r="J26">
        <v>0.18071199650950301</v>
      </c>
      <c r="K26">
        <v>0.75</v>
      </c>
      <c r="L26">
        <v>350.29</v>
      </c>
      <c r="M26">
        <v>47.13</v>
      </c>
    </row>
    <row r="27" spans="1:13" x14ac:dyDescent="0.3">
      <c r="A27">
        <v>26</v>
      </c>
      <c r="B27" t="s">
        <v>12</v>
      </c>
      <c r="C27">
        <v>3</v>
      </c>
      <c r="D27" t="s">
        <v>16</v>
      </c>
      <c r="E27">
        <v>908</v>
      </c>
      <c r="F27" s="2">
        <f t="shared" si="0"/>
        <v>2099.75</v>
      </c>
      <c r="G27">
        <v>1.03980381566352E-4</v>
      </c>
      <c r="H27">
        <v>95</v>
      </c>
      <c r="I27" s="1">
        <v>2.1455439362611401E-5</v>
      </c>
      <c r="J27">
        <v>0.16351538187245501</v>
      </c>
      <c r="K27">
        <v>0.75</v>
      </c>
      <c r="L27">
        <v>96.8</v>
      </c>
      <c r="M27">
        <v>54.279999999999902</v>
      </c>
    </row>
    <row r="28" spans="1:13" x14ac:dyDescent="0.3">
      <c r="A28">
        <v>27</v>
      </c>
      <c r="B28" t="s">
        <v>12</v>
      </c>
      <c r="C28">
        <v>3</v>
      </c>
      <c r="D28" t="s">
        <v>14</v>
      </c>
      <c r="E28">
        <v>2018</v>
      </c>
      <c r="F28" s="2">
        <f t="shared" si="0"/>
        <v>6054</v>
      </c>
      <c r="G28">
        <v>2.74905375070459E-4</v>
      </c>
      <c r="H28">
        <v>94</v>
      </c>
      <c r="I28">
        <v>7.9858403893893202E-4</v>
      </c>
      <c r="J28">
        <v>0.23777948201572299</v>
      </c>
      <c r="K28">
        <v>1</v>
      </c>
      <c r="L28">
        <v>189.21</v>
      </c>
      <c r="M28">
        <v>45.86</v>
      </c>
    </row>
    <row r="29" spans="1:13" x14ac:dyDescent="0.3">
      <c r="A29">
        <v>28</v>
      </c>
      <c r="B29" t="s">
        <v>12</v>
      </c>
      <c r="C29">
        <v>3</v>
      </c>
      <c r="D29" t="s">
        <v>14</v>
      </c>
      <c r="E29">
        <v>1109</v>
      </c>
      <c r="F29" s="2">
        <f t="shared" si="0"/>
        <v>2564.5625</v>
      </c>
      <c r="G29">
        <v>3.9530173489996101E-4</v>
      </c>
      <c r="H29">
        <v>218</v>
      </c>
      <c r="I29">
        <v>8.9314049643986703E-4</v>
      </c>
      <c r="J29">
        <v>0.13617056940809599</v>
      </c>
      <c r="K29">
        <v>0.75</v>
      </c>
      <c r="L29">
        <v>77.47</v>
      </c>
      <c r="M29">
        <v>49.98</v>
      </c>
    </row>
    <row r="30" spans="1:13" x14ac:dyDescent="0.3">
      <c r="A30">
        <v>29</v>
      </c>
      <c r="B30" t="s">
        <v>12</v>
      </c>
      <c r="C30">
        <v>2</v>
      </c>
      <c r="D30" t="s">
        <v>16</v>
      </c>
      <c r="E30">
        <v>643</v>
      </c>
      <c r="F30" s="2">
        <f t="shared" si="0"/>
        <v>1125.25</v>
      </c>
      <c r="G30">
        <v>2.2305456089944401E-4</v>
      </c>
      <c r="H30">
        <v>79</v>
      </c>
      <c r="I30" s="1">
        <v>2.2337596678957799E-5</v>
      </c>
      <c r="J30">
        <v>0.23200246099723901</v>
      </c>
      <c r="K30">
        <v>0.75</v>
      </c>
      <c r="L30">
        <v>110.09</v>
      </c>
      <c r="M30">
        <v>53.66</v>
      </c>
    </row>
    <row r="31" spans="1:13" x14ac:dyDescent="0.3">
      <c r="A31">
        <v>30</v>
      </c>
      <c r="B31" t="s">
        <v>12</v>
      </c>
      <c r="C31">
        <v>2</v>
      </c>
      <c r="D31" t="s">
        <v>17</v>
      </c>
      <c r="E31">
        <v>2564</v>
      </c>
      <c r="F31" s="2">
        <f t="shared" si="0"/>
        <v>5128</v>
      </c>
      <c r="G31">
        <v>2.5327361358044799E-4</v>
      </c>
      <c r="H31">
        <v>318</v>
      </c>
      <c r="I31">
        <v>2.2026743587891999E-4</v>
      </c>
      <c r="J31">
        <v>0.12425248420662099</v>
      </c>
      <c r="K31">
        <v>1</v>
      </c>
      <c r="L31">
        <v>229.07</v>
      </c>
      <c r="M31">
        <v>55.42</v>
      </c>
    </row>
    <row r="32" spans="1:13" x14ac:dyDescent="0.3">
      <c r="A32">
        <v>31</v>
      </c>
      <c r="B32" t="s">
        <v>12</v>
      </c>
      <c r="C32">
        <v>6</v>
      </c>
      <c r="D32" t="s">
        <v>15</v>
      </c>
      <c r="E32">
        <v>879</v>
      </c>
      <c r="F32" s="2">
        <f t="shared" si="0"/>
        <v>1730.53125</v>
      </c>
      <c r="G32">
        <v>3.3541051428365398E-4</v>
      </c>
      <c r="H32">
        <v>134</v>
      </c>
      <c r="I32" s="1">
        <v>4.60521704505701E-5</v>
      </c>
      <c r="J32">
        <v>0.10167307845948199</v>
      </c>
      <c r="K32">
        <v>0.5</v>
      </c>
      <c r="L32">
        <v>76.41</v>
      </c>
      <c r="M32">
        <v>53.65</v>
      </c>
    </row>
    <row r="33" spans="1:13" x14ac:dyDescent="0.3">
      <c r="A33">
        <v>32</v>
      </c>
      <c r="B33" t="s">
        <v>12</v>
      </c>
      <c r="C33">
        <v>4</v>
      </c>
      <c r="D33" t="s">
        <v>13</v>
      </c>
      <c r="E33">
        <v>1127</v>
      </c>
      <c r="F33" s="2">
        <f t="shared" si="0"/>
        <v>3081.640625</v>
      </c>
      <c r="G33">
        <v>1.57343960745272E-4</v>
      </c>
      <c r="H33">
        <v>285</v>
      </c>
      <c r="I33" s="1">
        <v>2.2425783905531599E-5</v>
      </c>
      <c r="J33">
        <v>0.25632943461994401</v>
      </c>
      <c r="K33">
        <v>0.75</v>
      </c>
      <c r="L33">
        <v>108.21</v>
      </c>
      <c r="M33">
        <v>55.75</v>
      </c>
    </row>
    <row r="34" spans="1:13" x14ac:dyDescent="0.3">
      <c r="A34">
        <v>33</v>
      </c>
      <c r="B34" t="s">
        <v>12</v>
      </c>
      <c r="C34">
        <v>6</v>
      </c>
      <c r="D34" t="s">
        <v>13</v>
      </c>
      <c r="E34">
        <v>1626</v>
      </c>
      <c r="F34" s="2">
        <f t="shared" si="0"/>
        <v>5346.427734375</v>
      </c>
      <c r="G34">
        <v>1.10396806256123E-4</v>
      </c>
      <c r="H34">
        <v>68</v>
      </c>
      <c r="I34">
        <v>2.2535833703004099E-4</v>
      </c>
      <c r="J34">
        <v>0.16197626242736499</v>
      </c>
      <c r="K34">
        <v>0.75</v>
      </c>
      <c r="L34">
        <v>288.31</v>
      </c>
      <c r="M34">
        <v>55.059999999999903</v>
      </c>
    </row>
    <row r="35" spans="1:13" x14ac:dyDescent="0.3">
      <c r="A35">
        <v>34</v>
      </c>
      <c r="B35" t="s">
        <v>12</v>
      </c>
      <c r="C35">
        <v>5</v>
      </c>
      <c r="D35" t="s">
        <v>14</v>
      </c>
      <c r="E35">
        <v>1474</v>
      </c>
      <c r="F35" s="2">
        <f t="shared" si="0"/>
        <v>7370</v>
      </c>
      <c r="G35">
        <v>2.08137548214038E-4</v>
      </c>
      <c r="H35">
        <v>253</v>
      </c>
      <c r="I35">
        <v>1.75503894249217E-4</v>
      </c>
      <c r="J35">
        <v>0.26141182045615702</v>
      </c>
      <c r="K35">
        <v>1</v>
      </c>
      <c r="L35">
        <v>176.17</v>
      </c>
      <c r="M35">
        <v>51.339999999999897</v>
      </c>
    </row>
    <row r="36" spans="1:13" x14ac:dyDescent="0.3">
      <c r="A36">
        <v>35</v>
      </c>
      <c r="B36" t="s">
        <v>12</v>
      </c>
      <c r="C36">
        <v>2</v>
      </c>
      <c r="D36" t="s">
        <v>14</v>
      </c>
      <c r="E36">
        <v>521</v>
      </c>
      <c r="F36" s="2">
        <f t="shared" si="0"/>
        <v>1042</v>
      </c>
      <c r="G36">
        <v>5.0995085160074501E-4</v>
      </c>
      <c r="H36">
        <v>130</v>
      </c>
      <c r="I36">
        <v>1.5525390511321501E-4</v>
      </c>
      <c r="J36">
        <v>0.17381807735685501</v>
      </c>
      <c r="K36">
        <v>1</v>
      </c>
      <c r="L36">
        <v>95.32</v>
      </c>
      <c r="M36">
        <v>50.73</v>
      </c>
    </row>
    <row r="37" spans="1:13" x14ac:dyDescent="0.3">
      <c r="A37">
        <v>36</v>
      </c>
      <c r="B37" t="s">
        <v>12</v>
      </c>
      <c r="C37">
        <v>6</v>
      </c>
      <c r="D37" t="s">
        <v>15</v>
      </c>
      <c r="E37">
        <v>356</v>
      </c>
      <c r="F37" s="2">
        <f t="shared" si="0"/>
        <v>1170.55859375</v>
      </c>
      <c r="G37">
        <v>4.63089943498106E-4</v>
      </c>
      <c r="H37">
        <v>144</v>
      </c>
      <c r="I37">
        <v>1.3165668754867E-4</v>
      </c>
      <c r="J37">
        <v>0.219199545942034</v>
      </c>
      <c r="K37">
        <v>0.75</v>
      </c>
      <c r="L37">
        <v>111.9</v>
      </c>
      <c r="M37">
        <v>52.62</v>
      </c>
    </row>
    <row r="38" spans="1:13" x14ac:dyDescent="0.3">
      <c r="A38">
        <v>37</v>
      </c>
      <c r="B38" t="s">
        <v>12</v>
      </c>
      <c r="C38">
        <v>5</v>
      </c>
      <c r="D38" t="s">
        <v>13</v>
      </c>
      <c r="E38">
        <v>805</v>
      </c>
      <c r="F38" s="2">
        <f t="shared" si="0"/>
        <v>4025</v>
      </c>
      <c r="G38">
        <v>1.3501923509272201E-4</v>
      </c>
      <c r="H38">
        <v>96</v>
      </c>
      <c r="I38" s="1">
        <v>1.52499910599701E-5</v>
      </c>
      <c r="J38">
        <v>0.12836419805462801</v>
      </c>
      <c r="K38">
        <v>1</v>
      </c>
      <c r="L38">
        <v>119.12</v>
      </c>
      <c r="M38">
        <v>54.9</v>
      </c>
    </row>
    <row r="39" spans="1:13" x14ac:dyDescent="0.3">
      <c r="A39">
        <v>38</v>
      </c>
      <c r="B39" t="s">
        <v>12</v>
      </c>
      <c r="C39">
        <v>6</v>
      </c>
      <c r="D39" t="s">
        <v>14</v>
      </c>
      <c r="E39">
        <v>379</v>
      </c>
      <c r="F39" s="2">
        <f t="shared" si="0"/>
        <v>2274</v>
      </c>
      <c r="G39">
        <v>7.0316059334358898E-4</v>
      </c>
      <c r="H39">
        <v>407</v>
      </c>
      <c r="I39" s="1">
        <v>2.26048886650195E-5</v>
      </c>
      <c r="J39">
        <v>0.23118917610509901</v>
      </c>
      <c r="K39">
        <v>1</v>
      </c>
      <c r="L39">
        <v>65.52</v>
      </c>
      <c r="M39">
        <v>49.73</v>
      </c>
    </row>
    <row r="40" spans="1:13" x14ac:dyDescent="0.3">
      <c r="A40">
        <v>39</v>
      </c>
      <c r="B40" t="s">
        <v>12</v>
      </c>
      <c r="C40">
        <v>4</v>
      </c>
      <c r="D40" t="s">
        <v>13</v>
      </c>
      <c r="E40">
        <v>670</v>
      </c>
      <c r="F40" s="2">
        <f t="shared" si="0"/>
        <v>1256.25</v>
      </c>
      <c r="G40">
        <v>1.2426774956458901E-4</v>
      </c>
      <c r="H40">
        <v>431</v>
      </c>
      <c r="I40">
        <v>1.0426172785686701E-4</v>
      </c>
      <c r="J40">
        <v>0.19041476368962101</v>
      </c>
      <c r="K40">
        <v>0.5</v>
      </c>
      <c r="L40">
        <v>93.76</v>
      </c>
      <c r="M40">
        <v>54.669999999999902</v>
      </c>
    </row>
    <row r="41" spans="1:13" x14ac:dyDescent="0.3">
      <c r="A41">
        <v>40</v>
      </c>
      <c r="B41" t="s">
        <v>12</v>
      </c>
      <c r="C41">
        <v>1</v>
      </c>
      <c r="D41" t="s">
        <v>15</v>
      </c>
      <c r="E41">
        <v>2122</v>
      </c>
      <c r="F41" s="2">
        <f t="shared" si="0"/>
        <v>2122</v>
      </c>
      <c r="G41">
        <v>3.7036984151001299E-4</v>
      </c>
      <c r="H41">
        <v>272</v>
      </c>
      <c r="I41" s="1">
        <v>1.1801383936523E-5</v>
      </c>
      <c r="J41">
        <v>0.256203696615878</v>
      </c>
      <c r="K41">
        <v>0.75</v>
      </c>
      <c r="L41">
        <v>77.88</v>
      </c>
      <c r="M41">
        <v>53.59</v>
      </c>
    </row>
    <row r="42" spans="1:13" x14ac:dyDescent="0.3">
      <c r="A42">
        <v>41</v>
      </c>
      <c r="B42" t="s">
        <v>12</v>
      </c>
      <c r="C42">
        <v>3</v>
      </c>
      <c r="D42" t="s">
        <v>15</v>
      </c>
      <c r="E42">
        <v>3070</v>
      </c>
      <c r="F42" s="2">
        <f t="shared" si="0"/>
        <v>9210</v>
      </c>
      <c r="G42">
        <v>8.4749909832382395E-4</v>
      </c>
      <c r="H42">
        <v>302</v>
      </c>
      <c r="I42" s="1">
        <v>9.5651756662296496E-5</v>
      </c>
      <c r="J42">
        <v>0.15778643711641699</v>
      </c>
      <c r="K42">
        <v>1</v>
      </c>
      <c r="L42">
        <v>146.21</v>
      </c>
      <c r="M42">
        <v>51.98</v>
      </c>
    </row>
    <row r="43" spans="1:13" x14ac:dyDescent="0.3">
      <c r="A43">
        <v>42</v>
      </c>
      <c r="B43" t="s">
        <v>12</v>
      </c>
      <c r="C43">
        <v>6</v>
      </c>
      <c r="D43" t="s">
        <v>14</v>
      </c>
      <c r="E43">
        <v>827</v>
      </c>
      <c r="F43" s="2">
        <f t="shared" si="0"/>
        <v>2719.2470703125</v>
      </c>
      <c r="G43">
        <v>3.6361462095824902E-4</v>
      </c>
      <c r="H43">
        <v>433</v>
      </c>
      <c r="I43">
        <v>7.3342009607077897E-4</v>
      </c>
      <c r="J43">
        <v>0.163824623180954</v>
      </c>
      <c r="K43">
        <v>0.75</v>
      </c>
      <c r="L43">
        <v>98.16</v>
      </c>
      <c r="M43">
        <v>51.129999999999903</v>
      </c>
    </row>
    <row r="44" spans="1:13" x14ac:dyDescent="0.3">
      <c r="A44">
        <v>43</v>
      </c>
      <c r="B44" t="s">
        <v>12</v>
      </c>
      <c r="C44">
        <v>1</v>
      </c>
      <c r="D44" t="s">
        <v>16</v>
      </c>
      <c r="E44">
        <v>582</v>
      </c>
      <c r="F44" s="2">
        <f t="shared" si="0"/>
        <v>582</v>
      </c>
      <c r="G44">
        <v>7.6195884641616304E-4</v>
      </c>
      <c r="H44">
        <v>150</v>
      </c>
      <c r="I44" s="1">
        <v>4.1020778191837098E-5</v>
      </c>
      <c r="J44">
        <v>0.220800072665257</v>
      </c>
      <c r="K44">
        <v>1</v>
      </c>
      <c r="L44">
        <v>66.14</v>
      </c>
      <c r="M44">
        <v>48.67</v>
      </c>
    </row>
    <row r="45" spans="1:13" x14ac:dyDescent="0.3">
      <c r="A45">
        <v>44</v>
      </c>
      <c r="B45" t="s">
        <v>12</v>
      </c>
      <c r="C45">
        <v>5</v>
      </c>
      <c r="D45" t="s">
        <v>15</v>
      </c>
      <c r="E45">
        <v>1050</v>
      </c>
      <c r="F45" s="2">
        <f t="shared" si="0"/>
        <v>5250</v>
      </c>
      <c r="G45">
        <v>7.2939341722546604E-4</v>
      </c>
      <c r="H45">
        <v>208</v>
      </c>
      <c r="I45" s="1">
        <v>1.87802810979747E-5</v>
      </c>
      <c r="J45">
        <v>0.16399954312901999</v>
      </c>
      <c r="K45">
        <v>1</v>
      </c>
      <c r="L45">
        <v>82.88</v>
      </c>
      <c r="M45">
        <v>51.59</v>
      </c>
    </row>
    <row r="46" spans="1:13" x14ac:dyDescent="0.3">
      <c r="A46">
        <v>45</v>
      </c>
      <c r="B46" t="s">
        <v>12</v>
      </c>
      <c r="C46">
        <v>1</v>
      </c>
      <c r="D46" t="s">
        <v>17</v>
      </c>
      <c r="E46">
        <v>361</v>
      </c>
      <c r="F46" s="2">
        <f t="shared" si="0"/>
        <v>361</v>
      </c>
      <c r="G46">
        <v>5.1044484731469202E-4</v>
      </c>
      <c r="H46">
        <v>118</v>
      </c>
      <c r="I46" s="1">
        <v>3.6969655744485199E-5</v>
      </c>
      <c r="J46">
        <v>0.17402800223203299</v>
      </c>
      <c r="K46">
        <v>0.5</v>
      </c>
      <c r="L46">
        <v>73.02</v>
      </c>
      <c r="M46">
        <v>50.66</v>
      </c>
    </row>
    <row r="47" spans="1:13" x14ac:dyDescent="0.3">
      <c r="A47">
        <v>46</v>
      </c>
      <c r="B47" t="s">
        <v>12</v>
      </c>
      <c r="C47">
        <v>2</v>
      </c>
      <c r="D47" t="s">
        <v>15</v>
      </c>
      <c r="E47">
        <v>2684</v>
      </c>
      <c r="F47" s="2">
        <f t="shared" si="0"/>
        <v>5368</v>
      </c>
      <c r="G47">
        <v>1.3107445649984499E-4</v>
      </c>
      <c r="H47">
        <v>89</v>
      </c>
      <c r="I47" s="1">
        <v>6.7737921070896995E-5</v>
      </c>
      <c r="J47">
        <v>0.23208731823992801</v>
      </c>
      <c r="K47">
        <v>1</v>
      </c>
      <c r="L47">
        <v>164.34</v>
      </c>
      <c r="M47">
        <v>55.32</v>
      </c>
    </row>
    <row r="48" spans="1:13" x14ac:dyDescent="0.3">
      <c r="A48">
        <v>1</v>
      </c>
      <c r="B48" t="s">
        <v>12</v>
      </c>
      <c r="C48">
        <v>6</v>
      </c>
      <c r="D48" t="s">
        <v>17</v>
      </c>
      <c r="E48">
        <v>669</v>
      </c>
      <c r="F48" s="2">
        <f t="shared" si="0"/>
        <v>4014</v>
      </c>
      <c r="G48">
        <v>2.6349735203719298E-4</v>
      </c>
      <c r="H48">
        <v>81</v>
      </c>
      <c r="I48">
        <v>6.7404028637079697E-4</v>
      </c>
      <c r="J48">
        <v>0.133431289489397</v>
      </c>
      <c r="K48">
        <v>1</v>
      </c>
      <c r="L48">
        <v>168.23</v>
      </c>
      <c r="M48">
        <v>49.68</v>
      </c>
    </row>
    <row r="49" spans="1:13" x14ac:dyDescent="0.3">
      <c r="A49">
        <v>1</v>
      </c>
      <c r="B49" t="s">
        <v>12</v>
      </c>
      <c r="C49">
        <v>3</v>
      </c>
      <c r="D49" t="s">
        <v>17</v>
      </c>
      <c r="E49">
        <v>1117</v>
      </c>
      <c r="F49" s="2">
        <f t="shared" si="0"/>
        <v>1954.75</v>
      </c>
      <c r="G49">
        <v>9.0489861566534803E-4</v>
      </c>
      <c r="H49">
        <v>107</v>
      </c>
      <c r="I49">
        <v>7.5916436332929796E-4</v>
      </c>
      <c r="J49">
        <v>0.27997474388170801</v>
      </c>
      <c r="K49">
        <v>0.5</v>
      </c>
      <c r="L49">
        <v>57.5</v>
      </c>
      <c r="M49">
        <v>39.589999999999897</v>
      </c>
    </row>
    <row r="50" spans="1:13" x14ac:dyDescent="0.3">
      <c r="A50">
        <v>2</v>
      </c>
      <c r="B50" t="s">
        <v>12</v>
      </c>
      <c r="C50">
        <v>1</v>
      </c>
      <c r="D50" t="s">
        <v>15</v>
      </c>
      <c r="E50">
        <v>1266</v>
      </c>
      <c r="F50" s="2">
        <f t="shared" si="0"/>
        <v>1266</v>
      </c>
      <c r="G50">
        <v>5.65458900430063E-4</v>
      </c>
      <c r="H50">
        <v>76</v>
      </c>
      <c r="I50">
        <v>3.8795854753207799E-4</v>
      </c>
      <c r="J50">
        <v>0.24925564527660099</v>
      </c>
      <c r="K50">
        <v>0.75</v>
      </c>
      <c r="L50">
        <v>123.08</v>
      </c>
      <c r="M50">
        <v>47.43</v>
      </c>
    </row>
    <row r="51" spans="1:13" x14ac:dyDescent="0.3">
      <c r="A51">
        <v>3</v>
      </c>
      <c r="B51" t="s">
        <v>12</v>
      </c>
      <c r="C51">
        <v>2</v>
      </c>
      <c r="D51" t="s">
        <v>13</v>
      </c>
      <c r="E51">
        <v>410</v>
      </c>
      <c r="F51" s="2">
        <f t="shared" si="0"/>
        <v>820</v>
      </c>
      <c r="G51">
        <v>1.1588940261610901E-4</v>
      </c>
      <c r="H51">
        <v>307</v>
      </c>
      <c r="I51">
        <v>4.5886737665926802E-4</v>
      </c>
      <c r="J51">
        <v>0.206431946925627</v>
      </c>
      <c r="K51">
        <v>1</v>
      </c>
      <c r="L51">
        <v>97.51</v>
      </c>
      <c r="M51">
        <v>52.29</v>
      </c>
    </row>
    <row r="52" spans="1:13" x14ac:dyDescent="0.3">
      <c r="A52">
        <v>4</v>
      </c>
      <c r="B52" t="s">
        <v>12</v>
      </c>
      <c r="C52">
        <v>3</v>
      </c>
      <c r="D52" t="s">
        <v>16</v>
      </c>
      <c r="E52">
        <v>548</v>
      </c>
      <c r="F52" s="2">
        <f t="shared" si="0"/>
        <v>1644</v>
      </c>
      <c r="G52">
        <v>2.80982873718222E-4</v>
      </c>
      <c r="H52">
        <v>449</v>
      </c>
      <c r="I52" s="1">
        <v>2.8309696377800899E-5</v>
      </c>
      <c r="J52">
        <v>0.216929761175053</v>
      </c>
      <c r="K52">
        <v>1</v>
      </c>
      <c r="L52">
        <v>44.87</v>
      </c>
      <c r="M52">
        <v>53.23</v>
      </c>
    </row>
    <row r="53" spans="1:13" x14ac:dyDescent="0.3">
      <c r="A53">
        <v>5</v>
      </c>
      <c r="B53" t="s">
        <v>12</v>
      </c>
      <c r="C53">
        <v>6</v>
      </c>
      <c r="D53" t="s">
        <v>17</v>
      </c>
      <c r="E53">
        <v>2654</v>
      </c>
      <c r="F53" s="2">
        <f t="shared" si="0"/>
        <v>8726.580078125</v>
      </c>
      <c r="G53">
        <v>1.14340469943785E-4</v>
      </c>
      <c r="H53">
        <v>179</v>
      </c>
      <c r="I53">
        <v>3.7195174312640002E-4</v>
      </c>
      <c r="J53">
        <v>0.17910548204166701</v>
      </c>
      <c r="K53">
        <v>0.75</v>
      </c>
      <c r="L53">
        <v>382.02</v>
      </c>
      <c r="M53">
        <v>54.61</v>
      </c>
    </row>
    <row r="54" spans="1:13" x14ac:dyDescent="0.3">
      <c r="A54">
        <v>6</v>
      </c>
      <c r="B54" t="s">
        <v>12</v>
      </c>
      <c r="C54">
        <v>4</v>
      </c>
      <c r="D54" t="s">
        <v>16</v>
      </c>
      <c r="E54">
        <v>1851</v>
      </c>
      <c r="F54" s="2">
        <f t="shared" si="0"/>
        <v>7404</v>
      </c>
      <c r="G54">
        <v>1.46794910103274E-4</v>
      </c>
      <c r="H54">
        <v>216</v>
      </c>
      <c r="I54">
        <v>1.6880290848120299E-4</v>
      </c>
      <c r="J54">
        <v>0.201491367795048</v>
      </c>
      <c r="K54">
        <v>1</v>
      </c>
      <c r="L54">
        <v>162.69</v>
      </c>
      <c r="M54">
        <v>55.37</v>
      </c>
    </row>
    <row r="55" spans="1:13" x14ac:dyDescent="0.3">
      <c r="A55">
        <v>7</v>
      </c>
      <c r="B55" t="s">
        <v>12</v>
      </c>
      <c r="C55">
        <v>4</v>
      </c>
      <c r="D55" t="s">
        <v>15</v>
      </c>
      <c r="E55">
        <v>794</v>
      </c>
      <c r="F55" s="2">
        <f t="shared" si="0"/>
        <v>2171.09375</v>
      </c>
      <c r="G55">
        <v>5.3021966663486001E-4</v>
      </c>
      <c r="H55">
        <v>73</v>
      </c>
      <c r="I55">
        <v>8.4372645174398797E-4</v>
      </c>
      <c r="J55">
        <v>0.157030767694052</v>
      </c>
      <c r="K55">
        <v>0.75</v>
      </c>
      <c r="L55">
        <v>137.16</v>
      </c>
      <c r="M55">
        <v>50.42</v>
      </c>
    </row>
    <row r="56" spans="1:13" x14ac:dyDescent="0.3">
      <c r="A56">
        <v>8</v>
      </c>
      <c r="B56" t="s">
        <v>12</v>
      </c>
      <c r="C56">
        <v>6</v>
      </c>
      <c r="D56" t="s">
        <v>16</v>
      </c>
      <c r="E56">
        <v>2144</v>
      </c>
      <c r="F56" s="2">
        <f t="shared" si="0"/>
        <v>7049.65625</v>
      </c>
      <c r="G56">
        <v>6.2975600982695704E-4</v>
      </c>
      <c r="H56">
        <v>274</v>
      </c>
      <c r="I56" s="1">
        <v>7.2511860985569797E-5</v>
      </c>
      <c r="J56">
        <v>0.19770929983483701</v>
      </c>
      <c r="K56">
        <v>0.75</v>
      </c>
      <c r="L56">
        <v>134.6</v>
      </c>
      <c r="M56">
        <v>51.449999999999903</v>
      </c>
    </row>
    <row r="57" spans="1:13" x14ac:dyDescent="0.3">
      <c r="A57">
        <v>9</v>
      </c>
      <c r="B57" t="s">
        <v>12</v>
      </c>
      <c r="C57">
        <v>4</v>
      </c>
      <c r="D57" t="s">
        <v>16</v>
      </c>
      <c r="E57">
        <v>800</v>
      </c>
      <c r="F57" s="2">
        <f t="shared" si="0"/>
        <v>2187.5</v>
      </c>
      <c r="G57">
        <v>4.4795280551420601E-4</v>
      </c>
      <c r="H57">
        <v>202</v>
      </c>
      <c r="I57" s="1">
        <v>2.3528584484714899E-5</v>
      </c>
      <c r="J57">
        <v>0.14788783497139099</v>
      </c>
      <c r="K57">
        <v>0.75</v>
      </c>
      <c r="L57">
        <v>62.01</v>
      </c>
      <c r="M57">
        <v>51.49</v>
      </c>
    </row>
    <row r="58" spans="1:13" x14ac:dyDescent="0.3">
      <c r="A58">
        <v>10</v>
      </c>
      <c r="B58" t="s">
        <v>12</v>
      </c>
      <c r="C58">
        <v>5</v>
      </c>
      <c r="D58" t="s">
        <v>15</v>
      </c>
      <c r="E58">
        <v>3521</v>
      </c>
      <c r="F58" s="2">
        <f t="shared" si="0"/>
        <v>6821.9375</v>
      </c>
      <c r="G58">
        <v>9.8564661703198189E-4</v>
      </c>
      <c r="H58">
        <v>92</v>
      </c>
      <c r="I58">
        <v>1.5459644550309501E-4</v>
      </c>
      <c r="J58">
        <v>0.11756419191603899</v>
      </c>
      <c r="K58">
        <v>0.5</v>
      </c>
      <c r="L58">
        <v>237.81</v>
      </c>
      <c r="M58">
        <v>51.4</v>
      </c>
    </row>
    <row r="59" spans="1:13" x14ac:dyDescent="0.3">
      <c r="A59">
        <v>11</v>
      </c>
      <c r="B59" t="s">
        <v>12</v>
      </c>
      <c r="C59">
        <v>6</v>
      </c>
      <c r="D59" t="s">
        <v>13</v>
      </c>
      <c r="E59">
        <v>566</v>
      </c>
      <c r="F59" s="2">
        <f t="shared" si="0"/>
        <v>1114.3125</v>
      </c>
      <c r="G59">
        <v>1.4461325299056199E-4</v>
      </c>
      <c r="H59">
        <v>113</v>
      </c>
      <c r="I59" s="1">
        <v>3.1189596755248802E-5</v>
      </c>
      <c r="J59">
        <v>0.213114476074969</v>
      </c>
      <c r="K59">
        <v>0.5</v>
      </c>
      <c r="L59">
        <v>93.77</v>
      </c>
      <c r="M59">
        <v>53.169999999999902</v>
      </c>
    </row>
    <row r="60" spans="1:13" x14ac:dyDescent="0.3">
      <c r="A60">
        <v>12</v>
      </c>
      <c r="B60" t="s">
        <v>12</v>
      </c>
      <c r="C60">
        <v>5</v>
      </c>
      <c r="D60" t="s">
        <v>14</v>
      </c>
      <c r="E60">
        <v>2655</v>
      </c>
      <c r="F60" s="2">
        <f t="shared" si="0"/>
        <v>13275</v>
      </c>
      <c r="G60">
        <v>8.3606931649073297E-4</v>
      </c>
      <c r="H60">
        <v>184</v>
      </c>
      <c r="I60">
        <v>3.54466179149647E-4</v>
      </c>
      <c r="J60">
        <v>0.26428028596321601</v>
      </c>
      <c r="K60">
        <v>1</v>
      </c>
      <c r="L60">
        <v>182.15</v>
      </c>
      <c r="M60">
        <v>17.02</v>
      </c>
    </row>
    <row r="61" spans="1:13" x14ac:dyDescent="0.3">
      <c r="A61">
        <v>13</v>
      </c>
      <c r="B61" t="s">
        <v>12</v>
      </c>
      <c r="C61">
        <v>6</v>
      </c>
      <c r="D61" t="s">
        <v>14</v>
      </c>
      <c r="E61">
        <v>521</v>
      </c>
      <c r="F61" s="2">
        <f t="shared" si="0"/>
        <v>1713.0927734375</v>
      </c>
      <c r="G61">
        <v>3.7061426133722499E-4</v>
      </c>
      <c r="H61">
        <v>75</v>
      </c>
      <c r="I61" s="1">
        <v>2.66779998062051E-5</v>
      </c>
      <c r="J61">
        <v>0.13220320500020399</v>
      </c>
      <c r="K61">
        <v>0.75</v>
      </c>
      <c r="L61">
        <v>100.54</v>
      </c>
      <c r="M61">
        <v>47.74</v>
      </c>
    </row>
    <row r="62" spans="1:13" x14ac:dyDescent="0.3">
      <c r="A62">
        <v>14</v>
      </c>
      <c r="B62" t="s">
        <v>12</v>
      </c>
      <c r="C62">
        <v>6</v>
      </c>
      <c r="D62" t="s">
        <v>16</v>
      </c>
      <c r="E62">
        <v>2139</v>
      </c>
      <c r="F62" s="2">
        <f t="shared" si="0"/>
        <v>4211.15625</v>
      </c>
      <c r="G62">
        <v>1.5954740705693599E-4</v>
      </c>
      <c r="H62">
        <v>112</v>
      </c>
      <c r="I62">
        <v>1.5550639133106599E-4</v>
      </c>
      <c r="J62">
        <v>0.12839203461080501</v>
      </c>
      <c r="K62">
        <v>0.5</v>
      </c>
      <c r="L62">
        <v>148</v>
      </c>
      <c r="M62">
        <v>54.87</v>
      </c>
    </row>
    <row r="63" spans="1:13" x14ac:dyDescent="0.3">
      <c r="A63">
        <v>15</v>
      </c>
      <c r="B63" t="s">
        <v>12</v>
      </c>
      <c r="C63">
        <v>5</v>
      </c>
      <c r="D63" t="s">
        <v>16</v>
      </c>
      <c r="E63">
        <v>2212</v>
      </c>
      <c r="F63" s="2">
        <f t="shared" si="0"/>
        <v>4285.75</v>
      </c>
      <c r="G63">
        <v>3.1559228878038498E-4</v>
      </c>
      <c r="H63">
        <v>200</v>
      </c>
      <c r="I63" s="1">
        <v>3.03318356125526E-5</v>
      </c>
      <c r="J63">
        <v>0.14610951138626499</v>
      </c>
      <c r="K63">
        <v>0.5</v>
      </c>
      <c r="L63">
        <v>82.57</v>
      </c>
      <c r="M63">
        <v>53.03</v>
      </c>
    </row>
    <row r="64" spans="1:13" x14ac:dyDescent="0.3">
      <c r="A64">
        <v>16</v>
      </c>
      <c r="B64" t="s">
        <v>12</v>
      </c>
      <c r="C64">
        <v>6</v>
      </c>
      <c r="D64" t="s">
        <v>17</v>
      </c>
      <c r="E64">
        <v>812</v>
      </c>
      <c r="F64" s="2">
        <f t="shared" si="0"/>
        <v>4872</v>
      </c>
      <c r="G64">
        <v>2.8057493197992099E-4</v>
      </c>
      <c r="H64">
        <v>296</v>
      </c>
      <c r="I64">
        <v>3.0699038124541597E-4</v>
      </c>
      <c r="J64">
        <v>0.18296168466035201</v>
      </c>
      <c r="K64">
        <v>1</v>
      </c>
      <c r="L64">
        <v>124.43</v>
      </c>
      <c r="M64">
        <v>52.76</v>
      </c>
    </row>
    <row r="65" spans="1:13" x14ac:dyDescent="0.3">
      <c r="A65">
        <v>17</v>
      </c>
      <c r="B65" t="s">
        <v>12</v>
      </c>
      <c r="C65">
        <v>5</v>
      </c>
      <c r="D65" t="s">
        <v>15</v>
      </c>
      <c r="E65">
        <v>323</v>
      </c>
      <c r="F65" s="2">
        <f t="shared" si="0"/>
        <v>625.8125</v>
      </c>
      <c r="G65">
        <v>2.1084897265477801E-4</v>
      </c>
      <c r="H65">
        <v>373</v>
      </c>
      <c r="I65">
        <v>1.1965482347276399E-4</v>
      </c>
      <c r="J65">
        <v>0.18790172405493899</v>
      </c>
      <c r="K65">
        <v>0.5</v>
      </c>
      <c r="L65">
        <v>62.19</v>
      </c>
      <c r="M65">
        <v>54.02</v>
      </c>
    </row>
    <row r="66" spans="1:13" x14ac:dyDescent="0.3">
      <c r="A66">
        <v>18</v>
      </c>
      <c r="B66" t="s">
        <v>12</v>
      </c>
      <c r="C66">
        <v>3</v>
      </c>
      <c r="D66" t="s">
        <v>16</v>
      </c>
      <c r="E66">
        <v>2587</v>
      </c>
      <c r="F66" s="2">
        <f t="shared" si="0"/>
        <v>7761</v>
      </c>
      <c r="G66">
        <v>3.2376130078841999E-4</v>
      </c>
      <c r="H66">
        <v>90</v>
      </c>
      <c r="I66">
        <v>2.2123824911052199E-4</v>
      </c>
      <c r="J66">
        <v>0.14773141460931699</v>
      </c>
      <c r="K66">
        <v>1</v>
      </c>
      <c r="L66">
        <v>271.64999999999998</v>
      </c>
      <c r="M66">
        <v>53.82</v>
      </c>
    </row>
    <row r="67" spans="1:13" x14ac:dyDescent="0.3">
      <c r="A67">
        <v>19</v>
      </c>
      <c r="B67" t="s">
        <v>12</v>
      </c>
      <c r="C67">
        <v>2</v>
      </c>
      <c r="D67" t="s">
        <v>13</v>
      </c>
      <c r="E67">
        <v>861</v>
      </c>
      <c r="F67" s="2">
        <f t="shared" ref="F67:F130" si="1">SERIESSUM(K67, 0, 1, _xlfn.SEQUENCE(C67, 1, 1, 0))*E67</f>
        <v>1291.5</v>
      </c>
      <c r="G67">
        <v>9.3272218736601103E-4</v>
      </c>
      <c r="H67">
        <v>119</v>
      </c>
      <c r="I67">
        <v>2.14389269295262E-4</v>
      </c>
      <c r="J67">
        <v>0.22468653268685301</v>
      </c>
      <c r="K67">
        <v>0.5</v>
      </c>
      <c r="L67">
        <v>41.37</v>
      </c>
      <c r="M67">
        <v>47.43</v>
      </c>
    </row>
    <row r="68" spans="1:13" x14ac:dyDescent="0.3">
      <c r="A68">
        <v>20</v>
      </c>
      <c r="B68" t="s">
        <v>12</v>
      </c>
      <c r="C68">
        <v>6</v>
      </c>
      <c r="D68" t="s">
        <v>17</v>
      </c>
      <c r="E68">
        <v>815</v>
      </c>
      <c r="F68" s="2">
        <f t="shared" si="1"/>
        <v>1604.53125</v>
      </c>
      <c r="G68">
        <v>2.8844684647606202E-4</v>
      </c>
      <c r="H68">
        <v>136</v>
      </c>
      <c r="I68">
        <v>7.2385108165156796E-4</v>
      </c>
      <c r="J68">
        <v>0.26749702761921201</v>
      </c>
      <c r="K68">
        <v>0.5</v>
      </c>
      <c r="L68">
        <v>101.73</v>
      </c>
      <c r="M68">
        <v>46.339999999999897</v>
      </c>
    </row>
    <row r="69" spans="1:13" x14ac:dyDescent="0.3">
      <c r="A69">
        <v>21</v>
      </c>
      <c r="B69" t="s">
        <v>12</v>
      </c>
      <c r="C69">
        <v>3</v>
      </c>
      <c r="D69" t="s">
        <v>17</v>
      </c>
      <c r="E69">
        <v>3089</v>
      </c>
      <c r="F69" s="2">
        <f t="shared" si="1"/>
        <v>9267</v>
      </c>
      <c r="G69">
        <v>2.24321034359451E-4</v>
      </c>
      <c r="H69">
        <v>122</v>
      </c>
      <c r="I69" s="1">
        <v>5.2580591506961902E-5</v>
      </c>
      <c r="J69">
        <v>0.18734831093749199</v>
      </c>
      <c r="K69">
        <v>1</v>
      </c>
      <c r="L69">
        <v>228.14</v>
      </c>
      <c r="M69">
        <v>52.88</v>
      </c>
    </row>
    <row r="70" spans="1:13" x14ac:dyDescent="0.3">
      <c r="A70">
        <v>22</v>
      </c>
      <c r="B70" t="s">
        <v>12</v>
      </c>
      <c r="C70">
        <v>5</v>
      </c>
      <c r="D70" t="s">
        <v>16</v>
      </c>
      <c r="E70">
        <v>1141</v>
      </c>
      <c r="F70" s="2">
        <f t="shared" si="1"/>
        <v>5705</v>
      </c>
      <c r="G70">
        <v>4.5588004204647902E-4</v>
      </c>
      <c r="H70">
        <v>477</v>
      </c>
      <c r="I70" s="1">
        <v>1.2575696747740099E-5</v>
      </c>
      <c r="J70">
        <v>0.108360218396991</v>
      </c>
      <c r="K70">
        <v>1</v>
      </c>
      <c r="L70">
        <v>57.09</v>
      </c>
      <c r="M70">
        <v>53.239999999999903</v>
      </c>
    </row>
    <row r="71" spans="1:13" x14ac:dyDescent="0.3">
      <c r="A71">
        <v>23</v>
      </c>
      <c r="B71" t="s">
        <v>12</v>
      </c>
      <c r="C71">
        <v>5</v>
      </c>
      <c r="D71" t="s">
        <v>14</v>
      </c>
      <c r="E71">
        <v>352</v>
      </c>
      <c r="F71" s="2">
        <f t="shared" si="1"/>
        <v>1760</v>
      </c>
      <c r="G71">
        <v>2.8522902749816202E-4</v>
      </c>
      <c r="H71">
        <v>85</v>
      </c>
      <c r="I71" s="1">
        <v>2.7839488491144401E-5</v>
      </c>
      <c r="J71">
        <v>0.10207584661517199</v>
      </c>
      <c r="K71">
        <v>1</v>
      </c>
      <c r="L71">
        <v>92.5</v>
      </c>
      <c r="M71">
        <v>52.61</v>
      </c>
    </row>
    <row r="72" spans="1:13" x14ac:dyDescent="0.3">
      <c r="A72">
        <v>24</v>
      </c>
      <c r="B72" t="s">
        <v>12</v>
      </c>
      <c r="C72">
        <v>2</v>
      </c>
      <c r="D72" t="s">
        <v>16</v>
      </c>
      <c r="E72">
        <v>337</v>
      </c>
      <c r="F72" s="2">
        <f t="shared" si="1"/>
        <v>505.5</v>
      </c>
      <c r="G72">
        <v>2.2172351696264701E-4</v>
      </c>
      <c r="H72">
        <v>303</v>
      </c>
      <c r="I72" s="1">
        <v>1.10481280370686E-5</v>
      </c>
      <c r="J72">
        <v>0.114280477081802</v>
      </c>
      <c r="K72">
        <v>0.5</v>
      </c>
      <c r="L72">
        <v>42.9</v>
      </c>
      <c r="M72">
        <v>50.36</v>
      </c>
    </row>
    <row r="73" spans="1:13" x14ac:dyDescent="0.3">
      <c r="A73">
        <v>25</v>
      </c>
      <c r="B73" t="s">
        <v>12</v>
      </c>
      <c r="C73">
        <v>5</v>
      </c>
      <c r="D73" t="s">
        <v>15</v>
      </c>
      <c r="E73">
        <v>1424</v>
      </c>
      <c r="F73" s="2">
        <f t="shared" si="1"/>
        <v>2759</v>
      </c>
      <c r="G73">
        <v>3.4200960187014698E-4</v>
      </c>
      <c r="H73">
        <v>348</v>
      </c>
      <c r="I73" s="1">
        <v>8.7249369985337294E-5</v>
      </c>
      <c r="J73">
        <v>0.13088242286631799</v>
      </c>
      <c r="K73">
        <v>0.5</v>
      </c>
      <c r="L73">
        <v>61.4</v>
      </c>
      <c r="M73">
        <v>54.37</v>
      </c>
    </row>
    <row r="74" spans="1:13" x14ac:dyDescent="0.3">
      <c r="A74">
        <v>26</v>
      </c>
      <c r="B74" t="s">
        <v>12</v>
      </c>
      <c r="C74">
        <v>6</v>
      </c>
      <c r="D74" t="s">
        <v>15</v>
      </c>
      <c r="E74">
        <v>3508</v>
      </c>
      <c r="F74" s="2">
        <f t="shared" si="1"/>
        <v>11534.60546875</v>
      </c>
      <c r="G74">
        <v>3.5326190432421101E-4</v>
      </c>
      <c r="H74">
        <v>207</v>
      </c>
      <c r="I74">
        <v>1.61518749091267E-4</v>
      </c>
      <c r="J74">
        <v>0.27179554828653901</v>
      </c>
      <c r="K74">
        <v>0.75</v>
      </c>
      <c r="L74">
        <v>275.87</v>
      </c>
      <c r="M74">
        <v>54.36</v>
      </c>
    </row>
    <row r="75" spans="1:13" x14ac:dyDescent="0.3">
      <c r="A75">
        <v>27</v>
      </c>
      <c r="B75" t="s">
        <v>12</v>
      </c>
      <c r="C75">
        <v>1</v>
      </c>
      <c r="D75" t="s">
        <v>14</v>
      </c>
      <c r="E75">
        <v>1380</v>
      </c>
      <c r="F75" s="2">
        <f t="shared" si="1"/>
        <v>1380</v>
      </c>
      <c r="G75">
        <v>4.1856809193997199E-4</v>
      </c>
      <c r="H75">
        <v>107</v>
      </c>
      <c r="I75" s="1">
        <v>7.6102205000346204E-5</v>
      </c>
      <c r="J75">
        <v>0.29422470103669801</v>
      </c>
      <c r="K75">
        <v>0.5</v>
      </c>
      <c r="L75">
        <v>99.3</v>
      </c>
      <c r="M75">
        <v>48.42</v>
      </c>
    </row>
    <row r="76" spans="1:13" x14ac:dyDescent="0.3">
      <c r="A76">
        <v>28</v>
      </c>
      <c r="B76" t="s">
        <v>12</v>
      </c>
      <c r="C76">
        <v>2</v>
      </c>
      <c r="D76" t="s">
        <v>14</v>
      </c>
      <c r="E76">
        <v>1566</v>
      </c>
      <c r="F76" s="2">
        <f t="shared" si="1"/>
        <v>2740.5</v>
      </c>
      <c r="G76">
        <v>1.8147456510874999E-4</v>
      </c>
      <c r="H76">
        <v>73</v>
      </c>
      <c r="I76" s="1">
        <v>3.5939200845556802E-5</v>
      </c>
      <c r="J76">
        <v>0.13464901587417899</v>
      </c>
      <c r="K76">
        <v>0.75</v>
      </c>
      <c r="L76">
        <v>110.94</v>
      </c>
      <c r="M76">
        <v>54.35</v>
      </c>
    </row>
    <row r="77" spans="1:13" x14ac:dyDescent="0.3">
      <c r="A77">
        <v>29</v>
      </c>
      <c r="B77" t="s">
        <v>12</v>
      </c>
      <c r="C77">
        <v>4</v>
      </c>
      <c r="D77" t="s">
        <v>15</v>
      </c>
      <c r="E77">
        <v>1396</v>
      </c>
      <c r="F77" s="2">
        <f t="shared" si="1"/>
        <v>2617.5</v>
      </c>
      <c r="G77">
        <v>1.29924506071778E-4</v>
      </c>
      <c r="H77">
        <v>447</v>
      </c>
      <c r="I77" s="1">
        <v>1.7975008997672599E-5</v>
      </c>
      <c r="J77">
        <v>0.122719452809255</v>
      </c>
      <c r="K77">
        <v>0.5</v>
      </c>
      <c r="L77">
        <v>57.23</v>
      </c>
      <c r="M77">
        <v>55.19</v>
      </c>
    </row>
    <row r="78" spans="1:13" x14ac:dyDescent="0.3">
      <c r="A78">
        <v>30</v>
      </c>
      <c r="B78" t="s">
        <v>12</v>
      </c>
      <c r="C78">
        <v>6</v>
      </c>
      <c r="D78" t="s">
        <v>15</v>
      </c>
      <c r="E78">
        <v>410</v>
      </c>
      <c r="F78" s="2">
        <f t="shared" si="1"/>
        <v>1348.115234375</v>
      </c>
      <c r="G78">
        <v>6.8452289498605696E-4</v>
      </c>
      <c r="H78">
        <v>201</v>
      </c>
      <c r="I78" s="1">
        <v>2.7098357203957101E-5</v>
      </c>
      <c r="J78">
        <v>0.25382114651238602</v>
      </c>
      <c r="K78">
        <v>0.75</v>
      </c>
      <c r="L78">
        <v>39.5</v>
      </c>
      <c r="M78">
        <v>41.65</v>
      </c>
    </row>
    <row r="79" spans="1:13" x14ac:dyDescent="0.3">
      <c r="A79">
        <v>31</v>
      </c>
      <c r="B79" t="s">
        <v>12</v>
      </c>
      <c r="C79">
        <v>1</v>
      </c>
      <c r="D79" t="s">
        <v>14</v>
      </c>
      <c r="E79">
        <v>383</v>
      </c>
      <c r="F79" s="2">
        <f t="shared" si="1"/>
        <v>383</v>
      </c>
      <c r="G79">
        <v>4.7204899003442302E-4</v>
      </c>
      <c r="H79">
        <v>451</v>
      </c>
      <c r="I79" s="1">
        <v>6.6443942118966297E-5</v>
      </c>
      <c r="J79">
        <v>0.23111736315342801</v>
      </c>
      <c r="K79">
        <v>0.75</v>
      </c>
      <c r="L79">
        <v>50.32</v>
      </c>
      <c r="M79">
        <v>52.2</v>
      </c>
    </row>
    <row r="80" spans="1:13" x14ac:dyDescent="0.3">
      <c r="A80">
        <v>32</v>
      </c>
      <c r="B80" t="s">
        <v>12</v>
      </c>
      <c r="C80">
        <v>2</v>
      </c>
      <c r="D80" t="s">
        <v>16</v>
      </c>
      <c r="E80">
        <v>1005</v>
      </c>
      <c r="F80" s="2">
        <f t="shared" si="1"/>
        <v>1758.75</v>
      </c>
      <c r="G80">
        <v>2.8969982891534802E-4</v>
      </c>
      <c r="H80">
        <v>142</v>
      </c>
      <c r="I80" s="1">
        <v>1.0056736478327599E-5</v>
      </c>
      <c r="J80">
        <v>0.16765352454129601</v>
      </c>
      <c r="K80">
        <v>0.75</v>
      </c>
      <c r="L80">
        <v>76.23</v>
      </c>
      <c r="M80">
        <v>54.63</v>
      </c>
    </row>
    <row r="81" spans="1:13" x14ac:dyDescent="0.3">
      <c r="A81">
        <v>33</v>
      </c>
      <c r="B81" t="s">
        <v>12</v>
      </c>
      <c r="C81">
        <v>1</v>
      </c>
      <c r="D81" t="s">
        <v>13</v>
      </c>
      <c r="E81">
        <v>1593</v>
      </c>
      <c r="F81" s="2">
        <f t="shared" si="1"/>
        <v>1593</v>
      </c>
      <c r="G81">
        <v>2.28747532865669E-4</v>
      </c>
      <c r="H81">
        <v>333</v>
      </c>
      <c r="I81">
        <v>4.08438486484128E-4</v>
      </c>
      <c r="J81">
        <v>0.29109944633168</v>
      </c>
      <c r="K81">
        <v>0.75</v>
      </c>
      <c r="L81">
        <v>83.26</v>
      </c>
      <c r="M81">
        <v>49.55</v>
      </c>
    </row>
    <row r="82" spans="1:13" x14ac:dyDescent="0.3">
      <c r="A82">
        <v>34</v>
      </c>
      <c r="B82" t="s">
        <v>12</v>
      </c>
      <c r="C82">
        <v>2</v>
      </c>
      <c r="D82" t="s">
        <v>17</v>
      </c>
      <c r="E82">
        <v>1530</v>
      </c>
      <c r="F82" s="2">
        <f t="shared" si="1"/>
        <v>2677.5</v>
      </c>
      <c r="G82">
        <v>1.2814258599091601E-4</v>
      </c>
      <c r="H82">
        <v>223</v>
      </c>
      <c r="I82" s="1">
        <v>1.38149137792623E-5</v>
      </c>
      <c r="J82">
        <v>0.298660609147677</v>
      </c>
      <c r="K82">
        <v>0.75</v>
      </c>
      <c r="L82">
        <v>123.26</v>
      </c>
      <c r="M82">
        <v>54.2</v>
      </c>
    </row>
    <row r="83" spans="1:13" x14ac:dyDescent="0.3">
      <c r="A83">
        <v>35</v>
      </c>
      <c r="B83" t="s">
        <v>12</v>
      </c>
      <c r="C83">
        <v>3</v>
      </c>
      <c r="D83" t="s">
        <v>17</v>
      </c>
      <c r="E83">
        <v>3797</v>
      </c>
      <c r="F83" s="2">
        <f t="shared" si="1"/>
        <v>8780.5625</v>
      </c>
      <c r="G83">
        <v>1.0777835593947001E-4</v>
      </c>
      <c r="H83">
        <v>200</v>
      </c>
      <c r="I83">
        <v>3.1667421508373898E-4</v>
      </c>
      <c r="J83">
        <v>0.13466643182802199</v>
      </c>
      <c r="K83">
        <v>0.75</v>
      </c>
      <c r="L83">
        <v>604.05999999999995</v>
      </c>
      <c r="M83">
        <v>55.4</v>
      </c>
    </row>
    <row r="84" spans="1:13" x14ac:dyDescent="0.3">
      <c r="A84">
        <v>36</v>
      </c>
      <c r="B84" t="s">
        <v>12</v>
      </c>
      <c r="C84">
        <v>6</v>
      </c>
      <c r="D84" t="s">
        <v>13</v>
      </c>
      <c r="E84">
        <v>3384</v>
      </c>
      <c r="F84" s="2">
        <f t="shared" si="1"/>
        <v>11126.8828125</v>
      </c>
      <c r="G84">
        <v>3.4048880956293298E-4</v>
      </c>
      <c r="H84">
        <v>336</v>
      </c>
      <c r="I84" s="1">
        <v>1.22685196563858E-5</v>
      </c>
      <c r="J84">
        <v>0.13590062297580299</v>
      </c>
      <c r="K84">
        <v>0.75</v>
      </c>
      <c r="L84">
        <v>175.75</v>
      </c>
      <c r="M84">
        <v>50.49</v>
      </c>
    </row>
    <row r="85" spans="1:13" x14ac:dyDescent="0.3">
      <c r="A85">
        <v>37</v>
      </c>
      <c r="B85" t="s">
        <v>12</v>
      </c>
      <c r="C85">
        <v>3</v>
      </c>
      <c r="D85" t="s">
        <v>13</v>
      </c>
      <c r="E85">
        <v>3956</v>
      </c>
      <c r="F85" s="2">
        <f t="shared" si="1"/>
        <v>6923</v>
      </c>
      <c r="G85">
        <v>5.5880645515296199E-4</v>
      </c>
      <c r="H85">
        <v>489</v>
      </c>
      <c r="I85" s="1">
        <v>5.5686837624401997E-5</v>
      </c>
      <c r="J85">
        <v>0.151964522424715</v>
      </c>
      <c r="K85">
        <v>0.5</v>
      </c>
      <c r="L85">
        <v>145.96</v>
      </c>
      <c r="M85">
        <v>53.63</v>
      </c>
    </row>
    <row r="86" spans="1:13" x14ac:dyDescent="0.3">
      <c r="A86">
        <v>38</v>
      </c>
      <c r="B86" t="s">
        <v>12</v>
      </c>
      <c r="C86">
        <v>4</v>
      </c>
      <c r="D86" t="s">
        <v>16</v>
      </c>
      <c r="E86">
        <v>899</v>
      </c>
      <c r="F86" s="2">
        <f t="shared" si="1"/>
        <v>3596</v>
      </c>
      <c r="G86">
        <v>1.27668579208357E-4</v>
      </c>
      <c r="H86">
        <v>87</v>
      </c>
      <c r="I86">
        <v>8.8090077971713699E-4</v>
      </c>
      <c r="J86">
        <v>0.11597013326246899</v>
      </c>
      <c r="K86">
        <v>1</v>
      </c>
      <c r="L86">
        <v>118.84</v>
      </c>
      <c r="M86">
        <v>54.11</v>
      </c>
    </row>
    <row r="87" spans="1:13" x14ac:dyDescent="0.3">
      <c r="A87">
        <v>39</v>
      </c>
      <c r="B87" t="s">
        <v>12</v>
      </c>
      <c r="C87">
        <v>3</v>
      </c>
      <c r="D87" t="s">
        <v>14</v>
      </c>
      <c r="E87">
        <v>613</v>
      </c>
      <c r="F87" s="2">
        <f t="shared" si="1"/>
        <v>1417.5625</v>
      </c>
      <c r="G87">
        <v>3.1714926015251902E-4</v>
      </c>
      <c r="H87">
        <v>257</v>
      </c>
      <c r="I87">
        <v>4.7050171838785502E-4</v>
      </c>
      <c r="J87">
        <v>0.17952215595054999</v>
      </c>
      <c r="K87">
        <v>0.75</v>
      </c>
      <c r="L87">
        <v>65.69</v>
      </c>
      <c r="M87">
        <v>52.26</v>
      </c>
    </row>
    <row r="88" spans="1:13" x14ac:dyDescent="0.3">
      <c r="A88">
        <v>40</v>
      </c>
      <c r="B88" t="s">
        <v>12</v>
      </c>
      <c r="C88">
        <v>3</v>
      </c>
      <c r="D88" t="s">
        <v>15</v>
      </c>
      <c r="E88">
        <v>467</v>
      </c>
      <c r="F88" s="2">
        <f t="shared" si="1"/>
        <v>817.25</v>
      </c>
      <c r="G88">
        <v>3.9517441014471998E-4</v>
      </c>
      <c r="H88">
        <v>236</v>
      </c>
      <c r="I88">
        <v>2.0848460271884301E-4</v>
      </c>
      <c r="J88">
        <v>0.18814913087322299</v>
      </c>
      <c r="K88">
        <v>0.5</v>
      </c>
      <c r="L88">
        <v>66.87</v>
      </c>
      <c r="M88">
        <v>54.25</v>
      </c>
    </row>
    <row r="89" spans="1:13" x14ac:dyDescent="0.3">
      <c r="A89">
        <v>41</v>
      </c>
      <c r="B89" t="s">
        <v>12</v>
      </c>
      <c r="C89">
        <v>5</v>
      </c>
      <c r="D89" t="s">
        <v>16</v>
      </c>
      <c r="E89">
        <v>679</v>
      </c>
      <c r="F89" s="2">
        <f t="shared" si="1"/>
        <v>1315.5625</v>
      </c>
      <c r="G89">
        <v>1.4035047667047999E-4</v>
      </c>
      <c r="H89">
        <v>82</v>
      </c>
      <c r="I89" s="1">
        <v>9.3866914069265197E-5</v>
      </c>
      <c r="J89">
        <v>0.10361042458631101</v>
      </c>
      <c r="K89">
        <v>0.5</v>
      </c>
      <c r="L89">
        <v>109.79</v>
      </c>
      <c r="M89">
        <v>53.949999999999903</v>
      </c>
    </row>
    <row r="90" spans="1:13" x14ac:dyDescent="0.3">
      <c r="A90">
        <v>42</v>
      </c>
      <c r="B90" t="s">
        <v>12</v>
      </c>
      <c r="C90">
        <v>3</v>
      </c>
      <c r="D90" t="s">
        <v>15</v>
      </c>
      <c r="E90">
        <v>1806</v>
      </c>
      <c r="F90" s="2">
        <f t="shared" si="1"/>
        <v>5418</v>
      </c>
      <c r="G90">
        <v>2.4914684744236103E-4</v>
      </c>
      <c r="H90">
        <v>509</v>
      </c>
      <c r="I90">
        <v>1.3638431500004E-4</v>
      </c>
      <c r="J90">
        <v>0.16297755661449301</v>
      </c>
      <c r="K90">
        <v>1</v>
      </c>
      <c r="L90">
        <v>88.92</v>
      </c>
      <c r="M90">
        <v>54.92</v>
      </c>
    </row>
    <row r="91" spans="1:13" x14ac:dyDescent="0.3">
      <c r="A91">
        <v>43</v>
      </c>
      <c r="B91" t="s">
        <v>12</v>
      </c>
      <c r="C91">
        <v>6</v>
      </c>
      <c r="D91" t="s">
        <v>16</v>
      </c>
      <c r="E91">
        <v>4050</v>
      </c>
      <c r="F91" s="2">
        <f t="shared" si="1"/>
        <v>7973.4375</v>
      </c>
      <c r="G91">
        <v>1.3750557585312E-4</v>
      </c>
      <c r="H91">
        <v>172</v>
      </c>
      <c r="I91">
        <v>2.1542636761533399E-4</v>
      </c>
      <c r="J91">
        <v>0.24695563652476299</v>
      </c>
      <c r="K91">
        <v>0.5</v>
      </c>
      <c r="L91">
        <v>284.36</v>
      </c>
      <c r="M91">
        <v>54.75</v>
      </c>
    </row>
    <row r="92" spans="1:13" x14ac:dyDescent="0.3">
      <c r="A92">
        <v>44</v>
      </c>
      <c r="B92" t="s">
        <v>12</v>
      </c>
      <c r="C92">
        <v>1</v>
      </c>
      <c r="D92" t="s">
        <v>14</v>
      </c>
      <c r="E92">
        <v>519</v>
      </c>
      <c r="F92" s="2">
        <f t="shared" si="1"/>
        <v>519</v>
      </c>
      <c r="G92">
        <v>4.0238419194423502E-4</v>
      </c>
      <c r="H92">
        <v>75</v>
      </c>
      <c r="I92" s="1">
        <v>7.4260011823348504E-5</v>
      </c>
      <c r="J92">
        <v>0.13569869573534399</v>
      </c>
      <c r="K92">
        <v>1</v>
      </c>
      <c r="L92">
        <v>104.4</v>
      </c>
      <c r="M92">
        <v>50.349999999999902</v>
      </c>
    </row>
    <row r="93" spans="1:13" x14ac:dyDescent="0.3">
      <c r="A93">
        <v>45</v>
      </c>
      <c r="B93" t="s">
        <v>12</v>
      </c>
      <c r="C93">
        <v>5</v>
      </c>
      <c r="D93" t="s">
        <v>13</v>
      </c>
      <c r="E93">
        <v>327</v>
      </c>
      <c r="F93" s="2">
        <f t="shared" si="1"/>
        <v>633.5625</v>
      </c>
      <c r="G93">
        <v>2.8144061431711198E-4</v>
      </c>
      <c r="H93">
        <v>102</v>
      </c>
      <c r="I93" s="1">
        <v>3.1280975903457003E-5</v>
      </c>
      <c r="J93">
        <v>0.119500009112705</v>
      </c>
      <c r="K93">
        <v>0.5</v>
      </c>
      <c r="L93">
        <v>90.12</v>
      </c>
      <c r="M93">
        <v>54.89</v>
      </c>
    </row>
    <row r="94" spans="1:13" x14ac:dyDescent="0.3">
      <c r="A94">
        <v>46</v>
      </c>
      <c r="B94" t="s">
        <v>12</v>
      </c>
      <c r="C94">
        <v>3</v>
      </c>
      <c r="D94" t="s">
        <v>17</v>
      </c>
      <c r="E94">
        <v>3153</v>
      </c>
      <c r="F94" s="2">
        <f t="shared" si="1"/>
        <v>5517.75</v>
      </c>
      <c r="G94">
        <v>4.3324268184704901E-4</v>
      </c>
      <c r="H94">
        <v>305</v>
      </c>
      <c r="I94" s="1">
        <v>1.2136557224197501E-5</v>
      </c>
      <c r="J94">
        <v>0.15712273209473501</v>
      </c>
      <c r="K94">
        <v>0.5</v>
      </c>
      <c r="L94">
        <v>113.34</v>
      </c>
      <c r="M94">
        <v>51.91</v>
      </c>
    </row>
    <row r="95" spans="1:13" x14ac:dyDescent="0.3">
      <c r="A95">
        <v>47</v>
      </c>
      <c r="B95" t="s">
        <v>12</v>
      </c>
      <c r="C95">
        <v>5</v>
      </c>
      <c r="D95" t="s">
        <v>15</v>
      </c>
      <c r="E95">
        <v>352</v>
      </c>
      <c r="F95" s="2">
        <f t="shared" si="1"/>
        <v>682</v>
      </c>
      <c r="G95">
        <v>7.5210943613594002E-4</v>
      </c>
      <c r="H95">
        <v>247</v>
      </c>
      <c r="I95" s="1">
        <v>3.5097959472093897E-5</v>
      </c>
      <c r="J95">
        <v>0.10536585327239199</v>
      </c>
      <c r="K95">
        <v>0.5</v>
      </c>
      <c r="L95">
        <v>57.39</v>
      </c>
      <c r="M95">
        <v>52.569999999999901</v>
      </c>
    </row>
    <row r="96" spans="1:13" x14ac:dyDescent="0.3">
      <c r="A96">
        <v>48</v>
      </c>
      <c r="B96" t="s">
        <v>12</v>
      </c>
      <c r="C96">
        <v>3</v>
      </c>
      <c r="D96" t="s">
        <v>14</v>
      </c>
      <c r="E96">
        <v>442</v>
      </c>
      <c r="F96" s="2">
        <f t="shared" si="1"/>
        <v>1022.125</v>
      </c>
      <c r="G96">
        <v>4.0006109134089899E-4</v>
      </c>
      <c r="H96">
        <v>96</v>
      </c>
      <c r="I96" s="1">
        <v>3.3854690681091602E-5</v>
      </c>
      <c r="J96">
        <v>0.11907930505754399</v>
      </c>
      <c r="K96">
        <v>0.75</v>
      </c>
      <c r="L96">
        <v>47.78</v>
      </c>
      <c r="M96">
        <v>48.63</v>
      </c>
    </row>
    <row r="97" spans="1:13" x14ac:dyDescent="0.3">
      <c r="A97">
        <v>49</v>
      </c>
      <c r="B97" t="s">
        <v>12</v>
      </c>
      <c r="C97">
        <v>5</v>
      </c>
      <c r="D97" t="s">
        <v>15</v>
      </c>
      <c r="E97">
        <v>571</v>
      </c>
      <c r="F97" s="2">
        <f t="shared" si="1"/>
        <v>1741.99609375</v>
      </c>
      <c r="G97">
        <v>6.3519038465108702E-4</v>
      </c>
      <c r="H97">
        <v>284</v>
      </c>
      <c r="I97">
        <v>1.20485974789694E-4</v>
      </c>
      <c r="J97">
        <v>0.136424908240701</v>
      </c>
      <c r="K97">
        <v>0.75</v>
      </c>
      <c r="L97">
        <v>55.56</v>
      </c>
      <c r="M97">
        <v>55.04</v>
      </c>
    </row>
    <row r="98" spans="1:13" x14ac:dyDescent="0.3">
      <c r="A98">
        <v>50</v>
      </c>
      <c r="B98" t="s">
        <v>12</v>
      </c>
      <c r="C98">
        <v>2</v>
      </c>
      <c r="D98" t="s">
        <v>14</v>
      </c>
      <c r="E98">
        <v>1162</v>
      </c>
      <c r="F98" s="2">
        <f t="shared" si="1"/>
        <v>2324</v>
      </c>
      <c r="G98">
        <v>5.9711733890399404E-4</v>
      </c>
      <c r="H98">
        <v>335</v>
      </c>
      <c r="I98" s="1">
        <v>1.51593740804337E-5</v>
      </c>
      <c r="J98">
        <v>0.116868474843978</v>
      </c>
      <c r="K98">
        <v>1</v>
      </c>
      <c r="L98">
        <v>53.26</v>
      </c>
      <c r="M98">
        <v>52.6</v>
      </c>
    </row>
    <row r="99" spans="1:13" x14ac:dyDescent="0.3">
      <c r="A99">
        <v>51</v>
      </c>
      <c r="B99" t="s">
        <v>12</v>
      </c>
      <c r="C99">
        <v>5</v>
      </c>
      <c r="D99" t="s">
        <v>13</v>
      </c>
      <c r="E99">
        <v>1674</v>
      </c>
      <c r="F99" s="2">
        <f t="shared" si="1"/>
        <v>3243.375</v>
      </c>
      <c r="G99">
        <v>4.8352366552783198E-4</v>
      </c>
      <c r="H99">
        <v>116</v>
      </c>
      <c r="I99" s="1">
        <v>5.2886186210835903E-5</v>
      </c>
      <c r="J99">
        <v>0.15653372526724901</v>
      </c>
      <c r="K99">
        <v>0.5</v>
      </c>
      <c r="L99">
        <v>105.28</v>
      </c>
      <c r="M99">
        <v>52.47</v>
      </c>
    </row>
    <row r="100" spans="1:13" x14ac:dyDescent="0.3">
      <c r="A100">
        <v>52</v>
      </c>
      <c r="B100" t="s">
        <v>12</v>
      </c>
      <c r="C100">
        <v>2</v>
      </c>
      <c r="D100" t="s">
        <v>14</v>
      </c>
      <c r="E100">
        <v>632</v>
      </c>
      <c r="F100" s="2">
        <f t="shared" si="1"/>
        <v>1264</v>
      </c>
      <c r="G100">
        <v>1.2913018995269599E-4</v>
      </c>
      <c r="H100">
        <v>117</v>
      </c>
      <c r="I100" s="1">
        <v>1.4280722689938601E-5</v>
      </c>
      <c r="J100">
        <v>0.249279146756996</v>
      </c>
      <c r="K100">
        <v>1</v>
      </c>
      <c r="L100">
        <v>146.69999999999999</v>
      </c>
      <c r="M100">
        <v>55.02</v>
      </c>
    </row>
    <row r="101" spans="1:13" x14ac:dyDescent="0.3">
      <c r="A101">
        <v>53</v>
      </c>
      <c r="B101" t="s">
        <v>12</v>
      </c>
      <c r="C101">
        <v>5</v>
      </c>
      <c r="D101" t="s">
        <v>13</v>
      </c>
      <c r="E101">
        <v>3010</v>
      </c>
      <c r="F101" s="2">
        <f t="shared" si="1"/>
        <v>15050</v>
      </c>
      <c r="G101">
        <v>5.6884496041760102E-4</v>
      </c>
      <c r="H101">
        <v>154</v>
      </c>
      <c r="I101">
        <v>1.7880368732945499E-4</v>
      </c>
      <c r="J101">
        <v>0.245101461647866</v>
      </c>
      <c r="K101">
        <v>1</v>
      </c>
      <c r="L101">
        <v>499.17</v>
      </c>
      <c r="M101">
        <v>48.24</v>
      </c>
    </row>
    <row r="102" spans="1:13" x14ac:dyDescent="0.3">
      <c r="A102">
        <v>54</v>
      </c>
      <c r="B102" t="s">
        <v>12</v>
      </c>
      <c r="C102">
        <v>4</v>
      </c>
      <c r="D102" t="s">
        <v>14</v>
      </c>
      <c r="E102">
        <v>1266</v>
      </c>
      <c r="F102" s="2">
        <f t="shared" si="1"/>
        <v>2373.75</v>
      </c>
      <c r="G102">
        <v>5.7833897715183196E-4</v>
      </c>
      <c r="H102">
        <v>459</v>
      </c>
      <c r="I102" s="1">
        <v>8.5096791226039602E-5</v>
      </c>
      <c r="J102">
        <v>0.239213310833645</v>
      </c>
      <c r="K102">
        <v>0.5</v>
      </c>
      <c r="L102">
        <v>61.44</v>
      </c>
      <c r="M102">
        <v>48.77</v>
      </c>
    </row>
    <row r="103" spans="1:13" x14ac:dyDescent="0.3">
      <c r="A103">
        <v>55</v>
      </c>
      <c r="B103" t="s">
        <v>12</v>
      </c>
      <c r="C103">
        <v>3</v>
      </c>
      <c r="D103" t="s">
        <v>14</v>
      </c>
      <c r="E103">
        <v>1262</v>
      </c>
      <c r="F103" s="2">
        <f t="shared" si="1"/>
        <v>3786</v>
      </c>
      <c r="G103">
        <v>2.071816659967E-4</v>
      </c>
      <c r="H103">
        <v>65</v>
      </c>
      <c r="I103" s="1">
        <v>2.76320310869954E-5</v>
      </c>
      <c r="J103">
        <v>0.16995013305837101</v>
      </c>
      <c r="K103">
        <v>1</v>
      </c>
      <c r="L103">
        <v>121.09</v>
      </c>
      <c r="M103">
        <v>51.66</v>
      </c>
    </row>
    <row r="104" spans="1:13" x14ac:dyDescent="0.3">
      <c r="A104">
        <v>56</v>
      </c>
      <c r="B104" t="s">
        <v>12</v>
      </c>
      <c r="C104">
        <v>3</v>
      </c>
      <c r="D104" t="s">
        <v>13</v>
      </c>
      <c r="E104">
        <v>3717</v>
      </c>
      <c r="F104" s="2">
        <f t="shared" si="1"/>
        <v>8595.5625</v>
      </c>
      <c r="G104">
        <v>9.66244389356113E-4</v>
      </c>
      <c r="H104">
        <v>261</v>
      </c>
      <c r="I104">
        <v>8.8133520238704399E-4</v>
      </c>
      <c r="J104">
        <v>0.11609606897706599</v>
      </c>
      <c r="K104">
        <v>0.75</v>
      </c>
      <c r="L104">
        <v>223.93</v>
      </c>
      <c r="M104">
        <v>45.23</v>
      </c>
    </row>
    <row r="105" spans="1:13" x14ac:dyDescent="0.3">
      <c r="A105">
        <v>57</v>
      </c>
      <c r="B105" t="s">
        <v>12</v>
      </c>
      <c r="C105">
        <v>4</v>
      </c>
      <c r="D105" t="s">
        <v>15</v>
      </c>
      <c r="E105">
        <v>1467</v>
      </c>
      <c r="F105" s="2">
        <f t="shared" si="1"/>
        <v>2750.625</v>
      </c>
      <c r="G105">
        <v>3.2637777590620299E-4</v>
      </c>
      <c r="H105">
        <v>214</v>
      </c>
      <c r="I105">
        <v>2.09754891360784E-4</v>
      </c>
      <c r="J105">
        <v>0.21026218803681701</v>
      </c>
      <c r="K105">
        <v>0.5</v>
      </c>
      <c r="L105">
        <v>96.46</v>
      </c>
      <c r="M105">
        <v>55.36</v>
      </c>
    </row>
    <row r="106" spans="1:13" x14ac:dyDescent="0.3">
      <c r="A106">
        <v>58</v>
      </c>
      <c r="B106" t="s">
        <v>12</v>
      </c>
      <c r="C106">
        <v>3</v>
      </c>
      <c r="D106" t="s">
        <v>15</v>
      </c>
      <c r="E106">
        <v>277</v>
      </c>
      <c r="F106" s="2">
        <f t="shared" si="1"/>
        <v>484.75</v>
      </c>
      <c r="G106">
        <v>3.5743806526983702E-4</v>
      </c>
      <c r="H106">
        <v>312</v>
      </c>
      <c r="I106">
        <v>6.4798286777416596E-4</v>
      </c>
      <c r="J106">
        <v>0.13213106114237899</v>
      </c>
      <c r="K106">
        <v>0.5</v>
      </c>
      <c r="L106">
        <v>61.83</v>
      </c>
      <c r="M106">
        <v>54.449999999999903</v>
      </c>
    </row>
    <row r="107" spans="1:13" x14ac:dyDescent="0.3">
      <c r="A107">
        <v>59</v>
      </c>
      <c r="B107" t="s">
        <v>12</v>
      </c>
      <c r="C107">
        <v>5</v>
      </c>
      <c r="D107" t="s">
        <v>14</v>
      </c>
      <c r="E107">
        <v>588</v>
      </c>
      <c r="F107" s="2">
        <f t="shared" si="1"/>
        <v>2940</v>
      </c>
      <c r="G107">
        <v>5.1976862321653696E-4</v>
      </c>
      <c r="H107">
        <v>114</v>
      </c>
      <c r="I107">
        <v>4.6253873410179798E-4</v>
      </c>
      <c r="J107">
        <v>0.19912964829716501</v>
      </c>
      <c r="K107">
        <v>1</v>
      </c>
      <c r="L107">
        <v>67.61</v>
      </c>
      <c r="M107">
        <v>44.08</v>
      </c>
    </row>
    <row r="108" spans="1:13" x14ac:dyDescent="0.3">
      <c r="A108">
        <v>60</v>
      </c>
      <c r="B108" t="s">
        <v>12</v>
      </c>
      <c r="C108">
        <v>3</v>
      </c>
      <c r="D108" t="s">
        <v>13</v>
      </c>
      <c r="E108">
        <v>2942</v>
      </c>
      <c r="F108" s="2">
        <f t="shared" si="1"/>
        <v>8826</v>
      </c>
      <c r="G108">
        <v>1.15967338160301E-4</v>
      </c>
      <c r="H108">
        <v>500</v>
      </c>
      <c r="I108" s="1">
        <v>1.11693425872984E-5</v>
      </c>
      <c r="J108">
        <v>0.28123853427463402</v>
      </c>
      <c r="K108">
        <v>1</v>
      </c>
      <c r="L108">
        <v>224.08</v>
      </c>
      <c r="M108">
        <v>54.65</v>
      </c>
    </row>
    <row r="109" spans="1:13" x14ac:dyDescent="0.3">
      <c r="A109">
        <v>61</v>
      </c>
      <c r="B109" t="s">
        <v>12</v>
      </c>
      <c r="C109">
        <v>3</v>
      </c>
      <c r="D109" t="s">
        <v>17</v>
      </c>
      <c r="E109">
        <v>3041</v>
      </c>
      <c r="F109" s="2">
        <f t="shared" si="1"/>
        <v>7032.3125</v>
      </c>
      <c r="G109">
        <v>8.0704970637044098E-4</v>
      </c>
      <c r="H109">
        <v>160</v>
      </c>
      <c r="I109">
        <v>7.4208096645836798E-4</v>
      </c>
      <c r="J109">
        <v>0.17950944020071299</v>
      </c>
      <c r="K109">
        <v>0.75</v>
      </c>
      <c r="L109">
        <v>132.65</v>
      </c>
      <c r="M109">
        <v>40.33</v>
      </c>
    </row>
    <row r="110" spans="1:13" x14ac:dyDescent="0.3">
      <c r="A110">
        <v>62</v>
      </c>
      <c r="B110" t="s">
        <v>12</v>
      </c>
      <c r="C110">
        <v>4</v>
      </c>
      <c r="D110" t="s">
        <v>14</v>
      </c>
      <c r="E110">
        <v>471</v>
      </c>
      <c r="F110" s="2">
        <f t="shared" si="1"/>
        <v>883.125</v>
      </c>
      <c r="G110">
        <v>2.35556394492372E-4</v>
      </c>
      <c r="H110">
        <v>95</v>
      </c>
      <c r="I110">
        <v>7.0598678481092201E-4</v>
      </c>
      <c r="J110">
        <v>0.12469573176481601</v>
      </c>
      <c r="K110">
        <v>0.5</v>
      </c>
      <c r="L110">
        <v>97.1</v>
      </c>
      <c r="M110">
        <v>49.81</v>
      </c>
    </row>
    <row r="111" spans="1:13" x14ac:dyDescent="0.3">
      <c r="A111">
        <v>63</v>
      </c>
      <c r="B111" t="s">
        <v>12</v>
      </c>
      <c r="C111">
        <v>1</v>
      </c>
      <c r="D111" t="s">
        <v>16</v>
      </c>
      <c r="E111">
        <v>313</v>
      </c>
      <c r="F111" s="2">
        <f t="shared" si="1"/>
        <v>313</v>
      </c>
      <c r="G111">
        <v>2.2544618330564E-4</v>
      </c>
      <c r="H111">
        <v>287</v>
      </c>
      <c r="I111">
        <v>1.3692486227107401E-4</v>
      </c>
      <c r="J111">
        <v>0.22815281858053499</v>
      </c>
      <c r="K111">
        <v>1</v>
      </c>
      <c r="L111">
        <v>65.84</v>
      </c>
      <c r="M111">
        <v>52.769999999999897</v>
      </c>
    </row>
    <row r="112" spans="1:13" x14ac:dyDescent="0.3">
      <c r="A112">
        <v>64</v>
      </c>
      <c r="B112" t="s">
        <v>12</v>
      </c>
      <c r="C112">
        <v>4</v>
      </c>
      <c r="D112" t="s">
        <v>17</v>
      </c>
      <c r="E112">
        <v>2480</v>
      </c>
      <c r="F112" s="2">
        <f t="shared" si="1"/>
        <v>9920</v>
      </c>
      <c r="G112">
        <v>3.5862159809610801E-4</v>
      </c>
      <c r="H112">
        <v>211</v>
      </c>
      <c r="I112">
        <v>1.7691309245329101E-4</v>
      </c>
      <c r="J112">
        <v>0.28967390014009697</v>
      </c>
      <c r="K112">
        <v>1</v>
      </c>
      <c r="L112">
        <v>267.43</v>
      </c>
      <c r="M112">
        <v>49.86</v>
      </c>
    </row>
    <row r="113" spans="1:13" x14ac:dyDescent="0.3">
      <c r="A113">
        <v>65</v>
      </c>
      <c r="B113" t="s">
        <v>12</v>
      </c>
      <c r="C113">
        <v>2</v>
      </c>
      <c r="D113" t="s">
        <v>17</v>
      </c>
      <c r="E113">
        <v>2283</v>
      </c>
      <c r="F113" s="2">
        <f t="shared" si="1"/>
        <v>4566</v>
      </c>
      <c r="G113">
        <v>7.4627876768697601E-4</v>
      </c>
      <c r="H113">
        <v>70</v>
      </c>
      <c r="I113" s="1">
        <v>1.1846468844303001E-5</v>
      </c>
      <c r="J113">
        <v>0.29206483962277702</v>
      </c>
      <c r="K113">
        <v>1</v>
      </c>
      <c r="L113">
        <v>123.5</v>
      </c>
      <c r="M113">
        <v>43.21</v>
      </c>
    </row>
    <row r="114" spans="1:13" x14ac:dyDescent="0.3">
      <c r="A114">
        <v>66</v>
      </c>
      <c r="B114" t="s">
        <v>12</v>
      </c>
      <c r="C114">
        <v>6</v>
      </c>
      <c r="D114" t="s">
        <v>13</v>
      </c>
      <c r="E114">
        <v>3232</v>
      </c>
      <c r="F114" s="2">
        <f t="shared" si="1"/>
        <v>6363</v>
      </c>
      <c r="G114">
        <v>7.9013935100498704E-4</v>
      </c>
      <c r="H114">
        <v>157</v>
      </c>
      <c r="I114">
        <v>2.7396099575394698E-4</v>
      </c>
      <c r="J114">
        <v>0.153590436761322</v>
      </c>
      <c r="K114">
        <v>0.5</v>
      </c>
      <c r="L114">
        <v>252.32</v>
      </c>
      <c r="M114">
        <v>48.58</v>
      </c>
    </row>
    <row r="115" spans="1:13" x14ac:dyDescent="0.3">
      <c r="A115">
        <v>67</v>
      </c>
      <c r="B115" t="s">
        <v>12</v>
      </c>
      <c r="C115">
        <v>2</v>
      </c>
      <c r="D115" t="s">
        <v>17</v>
      </c>
      <c r="E115">
        <v>1687</v>
      </c>
      <c r="F115" s="2">
        <f t="shared" si="1"/>
        <v>2952.25</v>
      </c>
      <c r="G115">
        <v>7.0386750349233902E-4</v>
      </c>
      <c r="H115">
        <v>190</v>
      </c>
      <c r="I115" s="1">
        <v>9.6502473327786598E-5</v>
      </c>
      <c r="J115">
        <v>0.138960822241464</v>
      </c>
      <c r="K115">
        <v>0.75</v>
      </c>
      <c r="L115">
        <v>74.8</v>
      </c>
      <c r="M115">
        <v>50.91</v>
      </c>
    </row>
    <row r="116" spans="1:13" x14ac:dyDescent="0.3">
      <c r="A116">
        <v>68</v>
      </c>
      <c r="B116" t="s">
        <v>12</v>
      </c>
      <c r="C116">
        <v>4</v>
      </c>
      <c r="D116" t="s">
        <v>13</v>
      </c>
      <c r="E116">
        <v>481</v>
      </c>
      <c r="F116" s="2">
        <f t="shared" si="1"/>
        <v>1315.234375</v>
      </c>
      <c r="G116">
        <v>3.1198124655085202E-4</v>
      </c>
      <c r="H116">
        <v>97</v>
      </c>
      <c r="I116">
        <v>1.84890575097001E-4</v>
      </c>
      <c r="J116">
        <v>0.13440065205999699</v>
      </c>
      <c r="K116">
        <v>0.75</v>
      </c>
      <c r="L116">
        <v>92.01</v>
      </c>
      <c r="M116">
        <v>55.089999999999897</v>
      </c>
    </row>
    <row r="117" spans="1:13" x14ac:dyDescent="0.3">
      <c r="A117">
        <v>69</v>
      </c>
      <c r="B117" t="s">
        <v>12</v>
      </c>
      <c r="C117">
        <v>3</v>
      </c>
      <c r="D117" t="s">
        <v>14</v>
      </c>
      <c r="E117">
        <v>412</v>
      </c>
      <c r="F117" s="2">
        <f t="shared" si="1"/>
        <v>721</v>
      </c>
      <c r="G117">
        <v>3.3684226910493301E-4</v>
      </c>
      <c r="H117">
        <v>99</v>
      </c>
      <c r="I117" s="1">
        <v>3.2090415924162E-5</v>
      </c>
      <c r="J117">
        <v>0.285424498370556</v>
      </c>
      <c r="K117">
        <v>0.5</v>
      </c>
      <c r="L117">
        <v>71.430000000000007</v>
      </c>
      <c r="M117">
        <v>46.88</v>
      </c>
    </row>
    <row r="118" spans="1:13" x14ac:dyDescent="0.3">
      <c r="A118">
        <v>70</v>
      </c>
      <c r="B118" t="s">
        <v>12</v>
      </c>
      <c r="C118">
        <v>5</v>
      </c>
      <c r="D118" t="s">
        <v>16</v>
      </c>
      <c r="E118">
        <v>1085</v>
      </c>
      <c r="F118" s="2">
        <f t="shared" si="1"/>
        <v>3310.09765625</v>
      </c>
      <c r="G118">
        <v>1.2943322177307501E-4</v>
      </c>
      <c r="H118">
        <v>140</v>
      </c>
      <c r="I118">
        <v>2.00168516467021E-4</v>
      </c>
      <c r="J118">
        <v>0.17250407230078699</v>
      </c>
      <c r="K118">
        <v>0.75</v>
      </c>
      <c r="L118">
        <v>103.38</v>
      </c>
      <c r="M118">
        <v>54.84</v>
      </c>
    </row>
    <row r="119" spans="1:13" x14ac:dyDescent="0.3">
      <c r="A119">
        <v>71</v>
      </c>
      <c r="B119" t="s">
        <v>12</v>
      </c>
      <c r="C119">
        <v>1</v>
      </c>
      <c r="D119" t="s">
        <v>15</v>
      </c>
      <c r="E119">
        <v>1609</v>
      </c>
      <c r="F119" s="2">
        <f t="shared" si="1"/>
        <v>1609</v>
      </c>
      <c r="G119">
        <v>1.20204818335342E-4</v>
      </c>
      <c r="H119">
        <v>68</v>
      </c>
      <c r="I119">
        <v>9.7579947382049896E-4</v>
      </c>
      <c r="J119">
        <v>0.27653650847502897</v>
      </c>
      <c r="K119">
        <v>1</v>
      </c>
      <c r="L119">
        <v>136.93</v>
      </c>
      <c r="M119">
        <v>52.58</v>
      </c>
    </row>
    <row r="120" spans="1:13" x14ac:dyDescent="0.3">
      <c r="A120">
        <v>72</v>
      </c>
      <c r="B120" t="s">
        <v>12</v>
      </c>
      <c r="C120">
        <v>1</v>
      </c>
      <c r="D120" t="s">
        <v>16</v>
      </c>
      <c r="E120">
        <v>1759</v>
      </c>
      <c r="F120" s="2">
        <f t="shared" si="1"/>
        <v>1759</v>
      </c>
      <c r="G120">
        <v>1.2910892787563899E-4</v>
      </c>
      <c r="H120">
        <v>379</v>
      </c>
      <c r="I120" s="1">
        <v>4.93147374659716E-5</v>
      </c>
      <c r="J120">
        <v>0.201727249123376</v>
      </c>
      <c r="K120">
        <v>0.75</v>
      </c>
      <c r="L120">
        <v>60.84</v>
      </c>
      <c r="M120">
        <v>53.44</v>
      </c>
    </row>
    <row r="121" spans="1:13" x14ac:dyDescent="0.3">
      <c r="A121">
        <v>73</v>
      </c>
      <c r="B121" t="s">
        <v>12</v>
      </c>
      <c r="C121">
        <v>6</v>
      </c>
      <c r="D121" t="s">
        <v>15</v>
      </c>
      <c r="E121">
        <v>1049</v>
      </c>
      <c r="F121" s="2">
        <f t="shared" si="1"/>
        <v>2065.21875</v>
      </c>
      <c r="G121">
        <v>3.0719866339523199E-4</v>
      </c>
      <c r="H121">
        <v>150</v>
      </c>
      <c r="I121">
        <v>2.6231282535827598E-4</v>
      </c>
      <c r="J121">
        <v>0.29218687360147699</v>
      </c>
      <c r="K121">
        <v>0.5</v>
      </c>
      <c r="L121">
        <v>141.29</v>
      </c>
      <c r="M121">
        <v>53.39</v>
      </c>
    </row>
    <row r="122" spans="1:13" x14ac:dyDescent="0.3">
      <c r="A122">
        <v>74</v>
      </c>
      <c r="B122" t="s">
        <v>12</v>
      </c>
      <c r="C122">
        <v>3</v>
      </c>
      <c r="D122" t="s">
        <v>13</v>
      </c>
      <c r="E122">
        <v>4010</v>
      </c>
      <c r="F122" s="2">
        <f t="shared" si="1"/>
        <v>12030</v>
      </c>
      <c r="G122">
        <v>2.9570549368858801E-4</v>
      </c>
      <c r="H122">
        <v>474</v>
      </c>
      <c r="I122">
        <v>4.27522275429581E-4</v>
      </c>
      <c r="J122">
        <v>0.24586868887556099</v>
      </c>
      <c r="K122">
        <v>1</v>
      </c>
      <c r="L122">
        <v>583.45000000000005</v>
      </c>
      <c r="M122">
        <v>53.42</v>
      </c>
    </row>
    <row r="123" spans="1:13" x14ac:dyDescent="0.3">
      <c r="A123">
        <v>75</v>
      </c>
      <c r="B123" t="s">
        <v>12</v>
      </c>
      <c r="C123">
        <v>6</v>
      </c>
      <c r="D123" t="s">
        <v>16</v>
      </c>
      <c r="E123">
        <v>467</v>
      </c>
      <c r="F123" s="2">
        <f t="shared" si="1"/>
        <v>919.40625</v>
      </c>
      <c r="G123">
        <v>5.2885423538955305E-4</v>
      </c>
      <c r="H123">
        <v>497</v>
      </c>
      <c r="I123">
        <v>4.2302898755429403E-4</v>
      </c>
      <c r="J123">
        <v>0.25892772717997897</v>
      </c>
      <c r="K123">
        <v>0.5</v>
      </c>
      <c r="L123">
        <v>61.55</v>
      </c>
      <c r="M123">
        <v>45.37</v>
      </c>
    </row>
    <row r="124" spans="1:13" x14ac:dyDescent="0.3">
      <c r="A124">
        <v>76</v>
      </c>
      <c r="B124" t="s">
        <v>12</v>
      </c>
      <c r="C124">
        <v>1</v>
      </c>
      <c r="D124" t="s">
        <v>17</v>
      </c>
      <c r="E124">
        <v>2611</v>
      </c>
      <c r="F124" s="2">
        <f t="shared" si="1"/>
        <v>2611</v>
      </c>
      <c r="G124">
        <v>5.3561022181506605E-4</v>
      </c>
      <c r="H124">
        <v>287</v>
      </c>
      <c r="I124">
        <v>9.3083362511340098E-4</v>
      </c>
      <c r="J124">
        <v>0.101743622050132</v>
      </c>
      <c r="K124">
        <v>0.75</v>
      </c>
      <c r="L124">
        <v>90.9</v>
      </c>
      <c r="M124">
        <v>49.559999999999903</v>
      </c>
    </row>
    <row r="125" spans="1:13" x14ac:dyDescent="0.3">
      <c r="A125">
        <v>77</v>
      </c>
      <c r="B125" t="s">
        <v>12</v>
      </c>
      <c r="C125">
        <v>1</v>
      </c>
      <c r="D125" t="s">
        <v>14</v>
      </c>
      <c r="E125">
        <v>603</v>
      </c>
      <c r="F125" s="2">
        <f t="shared" si="1"/>
        <v>603</v>
      </c>
      <c r="G125">
        <v>1.0622456252408E-4</v>
      </c>
      <c r="H125">
        <v>116</v>
      </c>
      <c r="I125">
        <v>1.9921063689426699E-4</v>
      </c>
      <c r="J125">
        <v>0.170388703849505</v>
      </c>
      <c r="K125">
        <v>0.5</v>
      </c>
      <c r="L125">
        <v>124.22</v>
      </c>
      <c r="M125">
        <v>52.51</v>
      </c>
    </row>
    <row r="126" spans="1:13" x14ac:dyDescent="0.3">
      <c r="A126">
        <v>78</v>
      </c>
      <c r="B126" t="s">
        <v>12</v>
      </c>
      <c r="C126">
        <v>2</v>
      </c>
      <c r="D126" t="s">
        <v>15</v>
      </c>
      <c r="E126">
        <v>613</v>
      </c>
      <c r="F126" s="2">
        <f t="shared" si="1"/>
        <v>1072.75</v>
      </c>
      <c r="G126">
        <v>8.1545376034884601E-4</v>
      </c>
      <c r="H126">
        <v>99</v>
      </c>
      <c r="I126" s="1">
        <v>3.0861669599559503E-5</v>
      </c>
      <c r="J126">
        <v>0.22992337335940599</v>
      </c>
      <c r="K126">
        <v>0.75</v>
      </c>
      <c r="L126">
        <v>77.010000000000005</v>
      </c>
      <c r="M126">
        <v>48.87</v>
      </c>
    </row>
    <row r="127" spans="1:13" x14ac:dyDescent="0.3">
      <c r="A127">
        <v>79</v>
      </c>
      <c r="B127" t="s">
        <v>12</v>
      </c>
      <c r="C127">
        <v>3</v>
      </c>
      <c r="D127" t="s">
        <v>15</v>
      </c>
      <c r="E127">
        <v>3042</v>
      </c>
      <c r="F127" s="2">
        <f t="shared" si="1"/>
        <v>7034.625</v>
      </c>
      <c r="G127">
        <v>6.1111097573762296E-4</v>
      </c>
      <c r="H127">
        <v>176</v>
      </c>
      <c r="I127">
        <v>1.5367530940345401E-4</v>
      </c>
      <c r="J127">
        <v>0.28227234682865399</v>
      </c>
      <c r="K127">
        <v>0.75</v>
      </c>
      <c r="L127">
        <v>221.42</v>
      </c>
      <c r="M127">
        <v>52.78</v>
      </c>
    </row>
    <row r="128" spans="1:13" x14ac:dyDescent="0.3">
      <c r="A128">
        <v>80</v>
      </c>
      <c r="B128" t="s">
        <v>12</v>
      </c>
      <c r="C128">
        <v>5</v>
      </c>
      <c r="D128" t="s">
        <v>17</v>
      </c>
      <c r="E128">
        <v>626</v>
      </c>
      <c r="F128" s="2">
        <f t="shared" si="1"/>
        <v>1909.7890625</v>
      </c>
      <c r="G128">
        <v>1.3268568218571E-4</v>
      </c>
      <c r="H128">
        <v>430</v>
      </c>
      <c r="I128" s="1">
        <v>1.63075187163282E-5</v>
      </c>
      <c r="J128">
        <v>0.20307367984021801</v>
      </c>
      <c r="K128">
        <v>0.75</v>
      </c>
      <c r="L128">
        <v>82.55</v>
      </c>
      <c r="M128">
        <v>52.83</v>
      </c>
    </row>
    <row r="129" spans="1:13" x14ac:dyDescent="0.3">
      <c r="A129">
        <v>81</v>
      </c>
      <c r="B129" t="s">
        <v>12</v>
      </c>
      <c r="C129">
        <v>3</v>
      </c>
      <c r="D129" t="s">
        <v>14</v>
      </c>
      <c r="E129">
        <v>1040</v>
      </c>
      <c r="F129" s="2">
        <f t="shared" si="1"/>
        <v>3120</v>
      </c>
      <c r="G129">
        <v>5.9702015694322499E-4</v>
      </c>
      <c r="H129">
        <v>148</v>
      </c>
      <c r="I129">
        <v>3.9274614327008598E-4</v>
      </c>
      <c r="J129">
        <v>0.142923009054472</v>
      </c>
      <c r="K129">
        <v>1</v>
      </c>
      <c r="L129">
        <v>60.28</v>
      </c>
      <c r="M129">
        <v>46.85</v>
      </c>
    </row>
    <row r="130" spans="1:13" x14ac:dyDescent="0.3">
      <c r="A130">
        <v>82</v>
      </c>
      <c r="B130" t="s">
        <v>12</v>
      </c>
      <c r="C130">
        <v>2</v>
      </c>
      <c r="D130" t="s">
        <v>14</v>
      </c>
      <c r="E130">
        <v>3541</v>
      </c>
      <c r="F130" s="2">
        <f t="shared" si="1"/>
        <v>7082</v>
      </c>
      <c r="G130">
        <v>2.6869625398054099E-4</v>
      </c>
      <c r="H130">
        <v>87</v>
      </c>
      <c r="I130">
        <v>2.1522143071963599E-4</v>
      </c>
      <c r="J130">
        <v>0.27704751516771597</v>
      </c>
      <c r="K130">
        <v>1</v>
      </c>
      <c r="L130">
        <v>248.25</v>
      </c>
      <c r="M130">
        <v>47.339999999999897</v>
      </c>
    </row>
    <row r="131" spans="1:13" x14ac:dyDescent="0.3">
      <c r="A131">
        <v>83</v>
      </c>
      <c r="B131" t="s">
        <v>12</v>
      </c>
      <c r="C131">
        <v>5</v>
      </c>
      <c r="D131" t="s">
        <v>15</v>
      </c>
      <c r="E131">
        <v>2000</v>
      </c>
      <c r="F131" s="2">
        <f t="shared" ref="F131:F194" si="2">SERIESSUM(K131, 0, 1, _xlfn.SEQUENCE(C131, 1, 1, 0))*E131</f>
        <v>6101.5625</v>
      </c>
      <c r="G131">
        <v>3.5749133403599698E-4</v>
      </c>
      <c r="H131">
        <v>72</v>
      </c>
      <c r="I131" s="1">
        <v>1.23407085653496E-5</v>
      </c>
      <c r="J131">
        <v>0.15385558784623199</v>
      </c>
      <c r="K131">
        <v>0.75</v>
      </c>
      <c r="L131">
        <v>135.82</v>
      </c>
      <c r="M131">
        <v>52.66</v>
      </c>
    </row>
    <row r="132" spans="1:13" x14ac:dyDescent="0.3">
      <c r="A132">
        <v>84</v>
      </c>
      <c r="B132" t="s">
        <v>12</v>
      </c>
      <c r="C132">
        <v>6</v>
      </c>
      <c r="D132" t="s">
        <v>13</v>
      </c>
      <c r="E132">
        <v>2193</v>
      </c>
      <c r="F132" s="2">
        <f t="shared" si="2"/>
        <v>7210.7724609375</v>
      </c>
      <c r="G132">
        <v>6.6893960688572897E-4</v>
      </c>
      <c r="H132">
        <v>154</v>
      </c>
      <c r="I132">
        <v>4.6181036685127299E-4</v>
      </c>
      <c r="J132">
        <v>0.17259501662774901</v>
      </c>
      <c r="K132">
        <v>0.75</v>
      </c>
      <c r="L132">
        <v>130.44999999999999</v>
      </c>
      <c r="M132">
        <v>43.07</v>
      </c>
    </row>
    <row r="133" spans="1:13" x14ac:dyDescent="0.3">
      <c r="A133">
        <v>85</v>
      </c>
      <c r="B133" t="s">
        <v>12</v>
      </c>
      <c r="C133">
        <v>2</v>
      </c>
      <c r="D133" t="s">
        <v>14</v>
      </c>
      <c r="E133">
        <v>751</v>
      </c>
      <c r="F133" s="2">
        <f t="shared" si="2"/>
        <v>1314.25</v>
      </c>
      <c r="G133">
        <v>1.0725667640446401E-4</v>
      </c>
      <c r="H133">
        <v>67</v>
      </c>
      <c r="I133" s="1">
        <v>1.08203351662235E-5</v>
      </c>
      <c r="J133">
        <v>0.204676850828903</v>
      </c>
      <c r="K133">
        <v>0.75</v>
      </c>
      <c r="L133">
        <v>146.91</v>
      </c>
      <c r="M133">
        <v>53.73</v>
      </c>
    </row>
    <row r="134" spans="1:13" x14ac:dyDescent="0.3">
      <c r="A134">
        <v>86</v>
      </c>
      <c r="B134" t="s">
        <v>12</v>
      </c>
      <c r="C134">
        <v>6</v>
      </c>
      <c r="D134" t="s">
        <v>14</v>
      </c>
      <c r="E134">
        <v>784</v>
      </c>
      <c r="F134" s="2">
        <f t="shared" si="2"/>
        <v>2577.859375</v>
      </c>
      <c r="G134">
        <v>8.9144893584023504E-4</v>
      </c>
      <c r="H134">
        <v>90</v>
      </c>
      <c r="I134">
        <v>6.7941953101520697E-4</v>
      </c>
      <c r="J134">
        <v>0.28176330852731002</v>
      </c>
      <c r="K134">
        <v>0.75</v>
      </c>
      <c r="L134">
        <v>60.28</v>
      </c>
      <c r="M134">
        <v>19.91</v>
      </c>
    </row>
    <row r="135" spans="1:13" x14ac:dyDescent="0.3">
      <c r="A135">
        <v>87</v>
      </c>
      <c r="B135" t="s">
        <v>12</v>
      </c>
      <c r="C135">
        <v>5</v>
      </c>
      <c r="D135" t="s">
        <v>14</v>
      </c>
      <c r="E135">
        <v>3187</v>
      </c>
      <c r="F135" s="2">
        <f t="shared" si="2"/>
        <v>6174.8125</v>
      </c>
      <c r="G135">
        <v>2.0695452389609401E-4</v>
      </c>
      <c r="H135">
        <v>244</v>
      </c>
      <c r="I135" s="1">
        <v>6.1791001990521793E-5</v>
      </c>
      <c r="J135">
        <v>0.15265549089643399</v>
      </c>
      <c r="K135">
        <v>0.5</v>
      </c>
      <c r="L135">
        <v>163.22999999999999</v>
      </c>
      <c r="M135">
        <v>53.51</v>
      </c>
    </row>
    <row r="136" spans="1:13" x14ac:dyDescent="0.3">
      <c r="A136">
        <v>88</v>
      </c>
      <c r="B136" t="s">
        <v>12</v>
      </c>
      <c r="C136">
        <v>1</v>
      </c>
      <c r="D136" t="s">
        <v>17</v>
      </c>
      <c r="E136">
        <v>817</v>
      </c>
      <c r="F136" s="2">
        <f t="shared" si="2"/>
        <v>817</v>
      </c>
      <c r="G136">
        <v>6.5172461215623305E-4</v>
      </c>
      <c r="H136">
        <v>395</v>
      </c>
      <c r="I136" s="1">
        <v>7.0441531834838998E-5</v>
      </c>
      <c r="J136">
        <v>0.25353438213676799</v>
      </c>
      <c r="K136">
        <v>0.75</v>
      </c>
      <c r="L136">
        <v>46.13</v>
      </c>
      <c r="M136">
        <v>50.01</v>
      </c>
    </row>
    <row r="137" spans="1:13" x14ac:dyDescent="0.3">
      <c r="A137">
        <v>89</v>
      </c>
      <c r="B137" t="s">
        <v>12</v>
      </c>
      <c r="C137">
        <v>4</v>
      </c>
      <c r="D137" t="s">
        <v>16</v>
      </c>
      <c r="E137">
        <v>277</v>
      </c>
      <c r="F137" s="2">
        <f t="shared" si="2"/>
        <v>519.375</v>
      </c>
      <c r="G137">
        <v>2.61812264308766E-4</v>
      </c>
      <c r="H137">
        <v>140</v>
      </c>
      <c r="I137" s="1">
        <v>8.3575288401091798E-5</v>
      </c>
      <c r="J137">
        <v>0.29987629626650802</v>
      </c>
      <c r="K137">
        <v>0.5</v>
      </c>
      <c r="L137">
        <v>107.01</v>
      </c>
      <c r="M137">
        <v>45.56</v>
      </c>
    </row>
    <row r="138" spans="1:13" x14ac:dyDescent="0.3">
      <c r="A138">
        <v>90</v>
      </c>
      <c r="B138" t="s">
        <v>12</v>
      </c>
      <c r="C138">
        <v>6</v>
      </c>
      <c r="D138" t="s">
        <v>17</v>
      </c>
      <c r="E138">
        <v>1153</v>
      </c>
      <c r="F138" s="2">
        <f t="shared" si="2"/>
        <v>3791.1630859375</v>
      </c>
      <c r="G138">
        <v>6.4004251772633702E-4</v>
      </c>
      <c r="H138">
        <v>70</v>
      </c>
      <c r="I138">
        <v>1.95449054884365E-4</v>
      </c>
      <c r="J138">
        <v>0.18168004316248099</v>
      </c>
      <c r="K138">
        <v>0.75</v>
      </c>
      <c r="L138">
        <v>143.91</v>
      </c>
      <c r="M138">
        <v>45.55</v>
      </c>
    </row>
    <row r="139" spans="1:13" x14ac:dyDescent="0.3">
      <c r="A139">
        <v>91</v>
      </c>
      <c r="B139" t="s">
        <v>12</v>
      </c>
      <c r="C139">
        <v>6</v>
      </c>
      <c r="D139" t="s">
        <v>13</v>
      </c>
      <c r="E139">
        <v>782</v>
      </c>
      <c r="F139" s="2">
        <f t="shared" si="2"/>
        <v>4692</v>
      </c>
      <c r="G139">
        <v>1.2265950321584099E-4</v>
      </c>
      <c r="H139">
        <v>226</v>
      </c>
      <c r="I139" s="1">
        <v>1.0090257725928901E-5</v>
      </c>
      <c r="J139">
        <v>0.114628131712016</v>
      </c>
      <c r="K139">
        <v>1</v>
      </c>
      <c r="L139">
        <v>73.75</v>
      </c>
      <c r="M139">
        <v>55.089999999999897</v>
      </c>
    </row>
    <row r="140" spans="1:13" x14ac:dyDescent="0.3">
      <c r="A140">
        <v>92</v>
      </c>
      <c r="B140" t="s">
        <v>12</v>
      </c>
      <c r="C140">
        <v>1</v>
      </c>
      <c r="D140" t="s">
        <v>13</v>
      </c>
      <c r="E140">
        <v>3557</v>
      </c>
      <c r="F140" s="2">
        <f t="shared" si="2"/>
        <v>3557</v>
      </c>
      <c r="G140">
        <v>8.7702859060207502E-4</v>
      </c>
      <c r="H140">
        <v>119</v>
      </c>
      <c r="I140">
        <v>4.5903213510218899E-4</v>
      </c>
      <c r="J140">
        <v>0.19362508487348501</v>
      </c>
      <c r="K140">
        <v>0.5</v>
      </c>
      <c r="L140">
        <v>68.150000000000006</v>
      </c>
      <c r="M140">
        <v>43.8</v>
      </c>
    </row>
    <row r="141" spans="1:13" x14ac:dyDescent="0.3">
      <c r="A141">
        <v>93</v>
      </c>
      <c r="B141" t="s">
        <v>12</v>
      </c>
      <c r="C141">
        <v>6</v>
      </c>
      <c r="D141" t="s">
        <v>13</v>
      </c>
      <c r="E141">
        <v>2100</v>
      </c>
      <c r="F141" s="2">
        <f t="shared" si="2"/>
        <v>6904.98046875</v>
      </c>
      <c r="G141">
        <v>2.0496933904707801E-4</v>
      </c>
      <c r="H141">
        <v>169</v>
      </c>
      <c r="I141" s="1">
        <v>5.31616063952953E-5</v>
      </c>
      <c r="J141">
        <v>0.20954050649429401</v>
      </c>
      <c r="K141">
        <v>0.75</v>
      </c>
      <c r="L141">
        <v>161.99</v>
      </c>
      <c r="M141">
        <v>54.59</v>
      </c>
    </row>
    <row r="142" spans="1:13" x14ac:dyDescent="0.3">
      <c r="A142">
        <v>94</v>
      </c>
      <c r="B142" t="s">
        <v>12</v>
      </c>
      <c r="C142">
        <v>2</v>
      </c>
      <c r="D142" t="s">
        <v>14</v>
      </c>
      <c r="E142">
        <v>280</v>
      </c>
      <c r="F142" s="2">
        <f t="shared" si="2"/>
        <v>490</v>
      </c>
      <c r="G142">
        <v>3.4469810054215598E-4</v>
      </c>
      <c r="H142">
        <v>393</v>
      </c>
      <c r="I142" s="1">
        <v>4.1229368577159097E-5</v>
      </c>
      <c r="J142">
        <v>0.21914333541626199</v>
      </c>
      <c r="K142">
        <v>0.75</v>
      </c>
      <c r="L142">
        <v>56.26</v>
      </c>
      <c r="M142">
        <v>52.18</v>
      </c>
    </row>
    <row r="143" spans="1:13" x14ac:dyDescent="0.3">
      <c r="A143">
        <v>95</v>
      </c>
      <c r="B143" t="s">
        <v>12</v>
      </c>
      <c r="C143">
        <v>2</v>
      </c>
      <c r="D143" t="s">
        <v>17</v>
      </c>
      <c r="E143">
        <v>385</v>
      </c>
      <c r="F143" s="2">
        <f t="shared" si="2"/>
        <v>673.75</v>
      </c>
      <c r="G143">
        <v>3.8451386212642099E-4</v>
      </c>
      <c r="H143">
        <v>281</v>
      </c>
      <c r="I143" s="1">
        <v>2.1840931919890701E-5</v>
      </c>
      <c r="J143">
        <v>0.176093368482617</v>
      </c>
      <c r="K143">
        <v>0.75</v>
      </c>
      <c r="L143">
        <v>63.42</v>
      </c>
      <c r="M143">
        <v>54.42</v>
      </c>
    </row>
    <row r="144" spans="1:13" x14ac:dyDescent="0.3">
      <c r="A144">
        <v>96</v>
      </c>
      <c r="B144" t="s">
        <v>12</v>
      </c>
      <c r="C144">
        <v>3</v>
      </c>
      <c r="D144" t="s">
        <v>17</v>
      </c>
      <c r="E144">
        <v>2651</v>
      </c>
      <c r="F144" s="2">
        <f t="shared" si="2"/>
        <v>7953</v>
      </c>
      <c r="G144">
        <v>2.48054870081903E-4</v>
      </c>
      <c r="H144">
        <v>402</v>
      </c>
      <c r="I144">
        <v>1.5025441446215801E-4</v>
      </c>
      <c r="J144">
        <v>0.179752291853714</v>
      </c>
      <c r="K144">
        <v>1</v>
      </c>
      <c r="L144">
        <v>262.20999999999998</v>
      </c>
      <c r="M144">
        <v>54.559999999999903</v>
      </c>
    </row>
    <row r="145" spans="1:13" x14ac:dyDescent="0.3">
      <c r="A145">
        <v>97</v>
      </c>
      <c r="B145" t="s">
        <v>12</v>
      </c>
      <c r="C145">
        <v>2</v>
      </c>
      <c r="D145" t="s">
        <v>16</v>
      </c>
      <c r="E145">
        <v>2554</v>
      </c>
      <c r="F145" s="2">
        <f t="shared" si="2"/>
        <v>5108</v>
      </c>
      <c r="G145">
        <v>2.26545931367902E-4</v>
      </c>
      <c r="H145">
        <v>371</v>
      </c>
      <c r="I145">
        <v>2.9897998755068597E-4</v>
      </c>
      <c r="J145">
        <v>0.29289699813686598</v>
      </c>
      <c r="K145">
        <v>1</v>
      </c>
      <c r="L145">
        <v>161.57</v>
      </c>
      <c r="M145">
        <v>55.61</v>
      </c>
    </row>
    <row r="146" spans="1:13" x14ac:dyDescent="0.3">
      <c r="A146">
        <v>98</v>
      </c>
      <c r="B146" t="s">
        <v>12</v>
      </c>
      <c r="C146">
        <v>4</v>
      </c>
      <c r="D146" t="s">
        <v>13</v>
      </c>
      <c r="E146">
        <v>1534</v>
      </c>
      <c r="F146" s="2">
        <f t="shared" si="2"/>
        <v>2876.25</v>
      </c>
      <c r="G146">
        <v>6.7140509683507102E-4</v>
      </c>
      <c r="H146">
        <v>312</v>
      </c>
      <c r="I146" s="1">
        <v>4.2334557770945003E-5</v>
      </c>
      <c r="J146">
        <v>0.23139288863570201</v>
      </c>
      <c r="K146">
        <v>0.5</v>
      </c>
      <c r="L146">
        <v>57.36</v>
      </c>
      <c r="M146">
        <v>52.43</v>
      </c>
    </row>
    <row r="147" spans="1:13" x14ac:dyDescent="0.3">
      <c r="A147">
        <v>99</v>
      </c>
      <c r="B147" t="s">
        <v>12</v>
      </c>
      <c r="C147">
        <v>3</v>
      </c>
      <c r="D147" t="s">
        <v>14</v>
      </c>
      <c r="E147">
        <v>1014</v>
      </c>
      <c r="F147" s="2">
        <f t="shared" si="2"/>
        <v>3042</v>
      </c>
      <c r="G147">
        <v>2.4872806487661101E-4</v>
      </c>
      <c r="H147">
        <v>498</v>
      </c>
      <c r="I147">
        <v>1.3261916338306199E-4</v>
      </c>
      <c r="J147">
        <v>0.17493673925182601</v>
      </c>
      <c r="K147">
        <v>1</v>
      </c>
      <c r="L147">
        <v>91.94</v>
      </c>
      <c r="M147">
        <v>55.32</v>
      </c>
    </row>
    <row r="148" spans="1:13" x14ac:dyDescent="0.3">
      <c r="A148">
        <v>100</v>
      </c>
      <c r="B148" t="s">
        <v>12</v>
      </c>
      <c r="C148">
        <v>1</v>
      </c>
      <c r="D148" t="s">
        <v>17</v>
      </c>
      <c r="E148">
        <v>2079</v>
      </c>
      <c r="F148" s="2">
        <f t="shared" si="2"/>
        <v>2079</v>
      </c>
      <c r="G148">
        <v>1.65821297373253E-4</v>
      </c>
      <c r="H148">
        <v>230</v>
      </c>
      <c r="I148" s="1">
        <v>6.2550607497300798E-5</v>
      </c>
      <c r="J148">
        <v>0.21259045962980699</v>
      </c>
      <c r="K148">
        <v>0.75</v>
      </c>
      <c r="L148">
        <v>107.87</v>
      </c>
      <c r="M148">
        <v>51.18</v>
      </c>
    </row>
    <row r="149" spans="1:13" x14ac:dyDescent="0.3">
      <c r="A149">
        <v>101</v>
      </c>
      <c r="B149" t="s">
        <v>12</v>
      </c>
      <c r="C149">
        <v>2</v>
      </c>
      <c r="D149" t="s">
        <v>16</v>
      </c>
      <c r="E149">
        <v>470</v>
      </c>
      <c r="F149" s="2">
        <f t="shared" si="2"/>
        <v>705</v>
      </c>
      <c r="G149">
        <v>5.0062148574213101E-4</v>
      </c>
      <c r="H149">
        <v>350</v>
      </c>
      <c r="I149">
        <v>2.2954078391747499E-4</v>
      </c>
      <c r="J149">
        <v>0.28054740598627398</v>
      </c>
      <c r="K149">
        <v>0.5</v>
      </c>
      <c r="L149">
        <v>68.77</v>
      </c>
      <c r="M149">
        <v>52.25</v>
      </c>
    </row>
    <row r="150" spans="1:13" x14ac:dyDescent="0.3">
      <c r="A150">
        <v>102</v>
      </c>
      <c r="B150" t="s">
        <v>12</v>
      </c>
      <c r="C150">
        <v>6</v>
      </c>
      <c r="D150" t="s">
        <v>17</v>
      </c>
      <c r="E150">
        <v>376</v>
      </c>
      <c r="F150" s="2">
        <f t="shared" si="2"/>
        <v>1236.3203125</v>
      </c>
      <c r="G150">
        <v>4.3918730051972299E-4</v>
      </c>
      <c r="H150">
        <v>143</v>
      </c>
      <c r="I150" s="1">
        <v>4.90201306037625E-5</v>
      </c>
      <c r="J150">
        <v>0.135538774492896</v>
      </c>
      <c r="K150">
        <v>0.75</v>
      </c>
      <c r="L150">
        <v>73.040000000000006</v>
      </c>
      <c r="M150">
        <v>53.7</v>
      </c>
    </row>
    <row r="151" spans="1:13" x14ac:dyDescent="0.3">
      <c r="A151">
        <v>103</v>
      </c>
      <c r="B151" t="s">
        <v>12</v>
      </c>
      <c r="C151">
        <v>2</v>
      </c>
      <c r="D151" t="s">
        <v>13</v>
      </c>
      <c r="E151">
        <v>2405</v>
      </c>
      <c r="F151" s="2">
        <f t="shared" si="2"/>
        <v>4810</v>
      </c>
      <c r="G151">
        <v>1.29191113933484E-4</v>
      </c>
      <c r="H151">
        <v>106</v>
      </c>
      <c r="I151" s="1">
        <v>5.3654531169076298E-5</v>
      </c>
      <c r="J151">
        <v>0.186358486756381</v>
      </c>
      <c r="K151">
        <v>1</v>
      </c>
      <c r="L151">
        <v>179.28</v>
      </c>
      <c r="M151">
        <v>54.65</v>
      </c>
    </row>
    <row r="152" spans="1:13" x14ac:dyDescent="0.3">
      <c r="A152">
        <v>104</v>
      </c>
      <c r="B152" t="s">
        <v>12</v>
      </c>
      <c r="C152">
        <v>5</v>
      </c>
      <c r="D152" t="s">
        <v>17</v>
      </c>
      <c r="E152">
        <v>933</v>
      </c>
      <c r="F152" s="2">
        <f t="shared" si="2"/>
        <v>2846.37890625</v>
      </c>
      <c r="G152">
        <v>3.3163283017104698E-4</v>
      </c>
      <c r="H152">
        <v>420</v>
      </c>
      <c r="I152">
        <v>1.6167272163923301E-4</v>
      </c>
      <c r="J152">
        <v>0.145778318745691</v>
      </c>
      <c r="K152">
        <v>0.75</v>
      </c>
      <c r="L152">
        <v>87.98</v>
      </c>
      <c r="M152">
        <v>55.489999999999903</v>
      </c>
    </row>
    <row r="153" spans="1:13" x14ac:dyDescent="0.3">
      <c r="A153">
        <v>105</v>
      </c>
      <c r="B153" t="s">
        <v>12</v>
      </c>
      <c r="C153">
        <v>2</v>
      </c>
      <c r="D153" t="s">
        <v>15</v>
      </c>
      <c r="E153">
        <v>1392</v>
      </c>
      <c r="F153" s="2">
        <f t="shared" si="2"/>
        <v>2436</v>
      </c>
      <c r="G153">
        <v>1.16665511721949E-4</v>
      </c>
      <c r="H153">
        <v>356</v>
      </c>
      <c r="I153" s="1">
        <v>7.0559456323621996E-5</v>
      </c>
      <c r="J153">
        <v>0.15020687581575401</v>
      </c>
      <c r="K153">
        <v>0.75</v>
      </c>
      <c r="L153">
        <v>69.010000000000005</v>
      </c>
      <c r="M153">
        <v>55.2</v>
      </c>
    </row>
    <row r="154" spans="1:13" x14ac:dyDescent="0.3">
      <c r="A154">
        <v>106</v>
      </c>
      <c r="B154" t="s">
        <v>12</v>
      </c>
      <c r="C154">
        <v>5</v>
      </c>
      <c r="D154" t="s">
        <v>14</v>
      </c>
      <c r="E154">
        <v>3069</v>
      </c>
      <c r="F154" s="2">
        <f t="shared" si="2"/>
        <v>5946.1875</v>
      </c>
      <c r="G154">
        <v>7.9702581792077498E-4</v>
      </c>
      <c r="H154">
        <v>451</v>
      </c>
      <c r="I154" s="1">
        <v>3.6258661950409103E-5</v>
      </c>
      <c r="J154">
        <v>0.28415090607990201</v>
      </c>
      <c r="K154">
        <v>0.5</v>
      </c>
      <c r="L154">
        <v>153.49</v>
      </c>
      <c r="M154">
        <v>38.5</v>
      </c>
    </row>
    <row r="155" spans="1:13" x14ac:dyDescent="0.3">
      <c r="A155">
        <v>107</v>
      </c>
      <c r="B155" t="s">
        <v>12</v>
      </c>
      <c r="C155">
        <v>4</v>
      </c>
      <c r="D155" t="s">
        <v>14</v>
      </c>
      <c r="E155">
        <v>3765</v>
      </c>
      <c r="F155" s="2">
        <f t="shared" si="2"/>
        <v>10294.921875</v>
      </c>
      <c r="G155">
        <v>8.1093561933332002E-4</v>
      </c>
      <c r="H155">
        <v>144</v>
      </c>
      <c r="I155">
        <v>3.7276152610682802E-4</v>
      </c>
      <c r="J155">
        <v>0.25683350789402298</v>
      </c>
      <c r="K155">
        <v>0.75</v>
      </c>
      <c r="L155">
        <v>190.08</v>
      </c>
      <c r="M155">
        <v>18.850000000000001</v>
      </c>
    </row>
    <row r="156" spans="1:13" x14ac:dyDescent="0.3">
      <c r="A156">
        <v>108</v>
      </c>
      <c r="B156" t="s">
        <v>12</v>
      </c>
      <c r="C156">
        <v>6</v>
      </c>
      <c r="D156" t="s">
        <v>13</v>
      </c>
      <c r="E156">
        <v>2551</v>
      </c>
      <c r="F156" s="2">
        <f t="shared" si="2"/>
        <v>5022.28125</v>
      </c>
      <c r="G156">
        <v>8.8699827832645602E-4</v>
      </c>
      <c r="H156">
        <v>347</v>
      </c>
      <c r="I156">
        <v>6.3038149144842997E-4</v>
      </c>
      <c r="J156">
        <v>0.154058691676942</v>
      </c>
      <c r="K156">
        <v>0.5</v>
      </c>
      <c r="L156">
        <v>104.72</v>
      </c>
      <c r="M156">
        <v>45.44</v>
      </c>
    </row>
    <row r="157" spans="1:13" x14ac:dyDescent="0.3">
      <c r="A157">
        <v>109</v>
      </c>
      <c r="B157" t="s">
        <v>12</v>
      </c>
      <c r="C157">
        <v>6</v>
      </c>
      <c r="D157" t="s">
        <v>16</v>
      </c>
      <c r="E157">
        <v>1267</v>
      </c>
      <c r="F157" s="2">
        <f t="shared" si="2"/>
        <v>7602</v>
      </c>
      <c r="G157">
        <v>1.1070894953734199E-4</v>
      </c>
      <c r="H157">
        <v>252</v>
      </c>
      <c r="I157" s="1">
        <v>3.5029126787802797E-5</v>
      </c>
      <c r="J157">
        <v>0.29732155686376699</v>
      </c>
      <c r="K157">
        <v>1</v>
      </c>
      <c r="L157">
        <v>163.06</v>
      </c>
      <c r="M157">
        <v>53.99</v>
      </c>
    </row>
    <row r="158" spans="1:13" x14ac:dyDescent="0.3">
      <c r="A158">
        <v>110</v>
      </c>
      <c r="B158" t="s">
        <v>12</v>
      </c>
      <c r="C158">
        <v>5</v>
      </c>
      <c r="D158" t="s">
        <v>14</v>
      </c>
      <c r="E158">
        <v>1017</v>
      </c>
      <c r="F158" s="2">
        <f t="shared" si="2"/>
        <v>3102.64453125</v>
      </c>
      <c r="G158">
        <v>2.7174815351598501E-4</v>
      </c>
      <c r="H158">
        <v>294</v>
      </c>
      <c r="I158" s="1">
        <v>7.6119876993778902E-5</v>
      </c>
      <c r="J158">
        <v>0.26791507178690599</v>
      </c>
      <c r="K158">
        <v>0.75</v>
      </c>
      <c r="L158">
        <v>93.35</v>
      </c>
      <c r="M158">
        <v>52.11</v>
      </c>
    </row>
    <row r="159" spans="1:13" x14ac:dyDescent="0.3">
      <c r="A159">
        <v>111</v>
      </c>
      <c r="B159" t="s">
        <v>12</v>
      </c>
      <c r="C159">
        <v>2</v>
      </c>
      <c r="D159" t="s">
        <v>15</v>
      </c>
      <c r="E159">
        <v>1536</v>
      </c>
      <c r="F159" s="2">
        <f t="shared" si="2"/>
        <v>2304</v>
      </c>
      <c r="G159">
        <v>8.96247261355891E-4</v>
      </c>
      <c r="H159">
        <v>67</v>
      </c>
      <c r="I159" s="1">
        <v>5.4344527118194498E-5</v>
      </c>
      <c r="J159">
        <v>0.21122545403912801</v>
      </c>
      <c r="K159">
        <v>0.5</v>
      </c>
      <c r="L159">
        <v>64.81</v>
      </c>
      <c r="M159">
        <v>45.91</v>
      </c>
    </row>
    <row r="160" spans="1:13" x14ac:dyDescent="0.3">
      <c r="A160">
        <v>112</v>
      </c>
      <c r="B160" t="s">
        <v>12</v>
      </c>
      <c r="C160">
        <v>2</v>
      </c>
      <c r="D160" t="s">
        <v>13</v>
      </c>
      <c r="E160">
        <v>1478</v>
      </c>
      <c r="F160" s="2">
        <f t="shared" si="2"/>
        <v>2217</v>
      </c>
      <c r="G160">
        <v>3.1284578111184298E-4</v>
      </c>
      <c r="H160">
        <v>348</v>
      </c>
      <c r="I160">
        <v>1.35523058586834E-4</v>
      </c>
      <c r="J160">
        <v>0.137979131833632</v>
      </c>
      <c r="K160">
        <v>0.5</v>
      </c>
      <c r="L160">
        <v>72.58</v>
      </c>
      <c r="M160">
        <v>55.089999999999897</v>
      </c>
    </row>
    <row r="161" spans="1:13" x14ac:dyDescent="0.3">
      <c r="A161">
        <v>113</v>
      </c>
      <c r="B161" t="s">
        <v>12</v>
      </c>
      <c r="C161">
        <v>2</v>
      </c>
      <c r="D161" t="s">
        <v>17</v>
      </c>
      <c r="E161">
        <v>1571</v>
      </c>
      <c r="F161" s="2">
        <f t="shared" si="2"/>
        <v>3142</v>
      </c>
      <c r="G161">
        <v>1.4611972483641599E-4</v>
      </c>
      <c r="H161">
        <v>348</v>
      </c>
      <c r="I161" s="1">
        <v>2.5911124548084001E-5</v>
      </c>
      <c r="J161">
        <v>0.25326995525997598</v>
      </c>
      <c r="K161">
        <v>1</v>
      </c>
      <c r="L161">
        <v>108.64</v>
      </c>
      <c r="M161">
        <v>52.949999999999903</v>
      </c>
    </row>
    <row r="162" spans="1:13" x14ac:dyDescent="0.3">
      <c r="A162">
        <v>114</v>
      </c>
      <c r="B162" t="s">
        <v>12</v>
      </c>
      <c r="C162">
        <v>2</v>
      </c>
      <c r="D162" t="s">
        <v>13</v>
      </c>
      <c r="E162">
        <v>1358</v>
      </c>
      <c r="F162" s="2">
        <f t="shared" si="2"/>
        <v>2376.5</v>
      </c>
      <c r="G162">
        <v>1.5518247235766201E-4</v>
      </c>
      <c r="H162">
        <v>77</v>
      </c>
      <c r="I162" s="1">
        <v>1.5663728769827101E-5</v>
      </c>
      <c r="J162">
        <v>0.117596068695035</v>
      </c>
      <c r="K162">
        <v>0.75</v>
      </c>
      <c r="L162">
        <v>103.37</v>
      </c>
      <c r="M162">
        <v>54.1799999999999</v>
      </c>
    </row>
    <row r="163" spans="1:13" x14ac:dyDescent="0.3">
      <c r="A163">
        <v>115</v>
      </c>
      <c r="B163" t="s">
        <v>12</v>
      </c>
      <c r="C163">
        <v>1</v>
      </c>
      <c r="D163" t="s">
        <v>15</v>
      </c>
      <c r="E163">
        <v>1476</v>
      </c>
      <c r="F163" s="2">
        <f t="shared" si="2"/>
        <v>1476</v>
      </c>
      <c r="G163">
        <v>3.01690869258661E-4</v>
      </c>
      <c r="H163">
        <v>410</v>
      </c>
      <c r="I163">
        <v>1.30066707907771E-4</v>
      </c>
      <c r="J163">
        <v>0.18312045221353099</v>
      </c>
      <c r="K163">
        <v>0.5</v>
      </c>
      <c r="L163">
        <v>61.9</v>
      </c>
      <c r="M163">
        <v>54.87</v>
      </c>
    </row>
    <row r="164" spans="1:13" x14ac:dyDescent="0.3">
      <c r="A164">
        <v>116</v>
      </c>
      <c r="B164" t="s">
        <v>12</v>
      </c>
      <c r="C164">
        <v>1</v>
      </c>
      <c r="D164" t="s">
        <v>15</v>
      </c>
      <c r="E164">
        <v>2115</v>
      </c>
      <c r="F164" s="2">
        <f t="shared" si="2"/>
        <v>2115</v>
      </c>
      <c r="G164">
        <v>1.57328388746684E-4</v>
      </c>
      <c r="H164">
        <v>81</v>
      </c>
      <c r="I164">
        <v>2.06652749523471E-4</v>
      </c>
      <c r="J164">
        <v>0.117661898340538</v>
      </c>
      <c r="K164">
        <v>0.75</v>
      </c>
      <c r="L164">
        <v>120.92</v>
      </c>
      <c r="M164">
        <v>54.37</v>
      </c>
    </row>
    <row r="165" spans="1:13" x14ac:dyDescent="0.3">
      <c r="A165">
        <v>117</v>
      </c>
      <c r="B165" t="s">
        <v>12</v>
      </c>
      <c r="C165">
        <v>2</v>
      </c>
      <c r="D165" t="s">
        <v>17</v>
      </c>
      <c r="E165">
        <v>328</v>
      </c>
      <c r="F165" s="2">
        <f t="shared" si="2"/>
        <v>574</v>
      </c>
      <c r="G165">
        <v>7.6995116294255501E-4</v>
      </c>
      <c r="H165">
        <v>169</v>
      </c>
      <c r="I165">
        <v>1.19981170391182E-4</v>
      </c>
      <c r="J165">
        <v>0.23695515881680501</v>
      </c>
      <c r="K165">
        <v>0.75</v>
      </c>
      <c r="L165">
        <v>53.55</v>
      </c>
      <c r="M165">
        <v>52.15</v>
      </c>
    </row>
    <row r="166" spans="1:13" x14ac:dyDescent="0.3">
      <c r="A166">
        <v>118</v>
      </c>
      <c r="B166" t="s">
        <v>12</v>
      </c>
      <c r="C166">
        <v>2</v>
      </c>
      <c r="D166" t="s">
        <v>15</v>
      </c>
      <c r="E166">
        <v>894</v>
      </c>
      <c r="F166" s="2">
        <f t="shared" si="2"/>
        <v>1341</v>
      </c>
      <c r="G166">
        <v>1.2790977873497901E-4</v>
      </c>
      <c r="H166">
        <v>65</v>
      </c>
      <c r="I166">
        <v>5.3117797781806098E-4</v>
      </c>
      <c r="J166">
        <v>0.13802025303764101</v>
      </c>
      <c r="K166">
        <v>0.5</v>
      </c>
      <c r="L166">
        <v>131.57</v>
      </c>
      <c r="M166">
        <v>55.7</v>
      </c>
    </row>
    <row r="167" spans="1:13" x14ac:dyDescent="0.3">
      <c r="A167">
        <v>119</v>
      </c>
      <c r="B167" t="s">
        <v>12</v>
      </c>
      <c r="C167">
        <v>1</v>
      </c>
      <c r="D167" t="s">
        <v>17</v>
      </c>
      <c r="E167">
        <v>1866</v>
      </c>
      <c r="F167" s="2">
        <f t="shared" si="2"/>
        <v>1866</v>
      </c>
      <c r="G167">
        <v>1.6856495283892E-4</v>
      </c>
      <c r="H167">
        <v>484</v>
      </c>
      <c r="I167">
        <v>8.1244514346185597E-4</v>
      </c>
      <c r="J167">
        <v>0.119358861065053</v>
      </c>
      <c r="K167">
        <v>1</v>
      </c>
      <c r="L167">
        <v>113.72</v>
      </c>
      <c r="M167">
        <v>49.47</v>
      </c>
    </row>
    <row r="168" spans="1:13" x14ac:dyDescent="0.3">
      <c r="A168">
        <v>120</v>
      </c>
      <c r="B168" t="s">
        <v>12</v>
      </c>
      <c r="C168">
        <v>1</v>
      </c>
      <c r="D168" t="s">
        <v>15</v>
      </c>
      <c r="E168">
        <v>568</v>
      </c>
      <c r="F168" s="2">
        <f t="shared" si="2"/>
        <v>568</v>
      </c>
      <c r="G168">
        <v>6.3756582943237596E-4</v>
      </c>
      <c r="H168">
        <v>158</v>
      </c>
      <c r="I168">
        <v>1.3560546219043999E-4</v>
      </c>
      <c r="J168">
        <v>0.25049664393296001</v>
      </c>
      <c r="K168">
        <v>0.75</v>
      </c>
      <c r="L168">
        <v>55.04</v>
      </c>
      <c r="M168">
        <v>49.19</v>
      </c>
    </row>
    <row r="169" spans="1:13" x14ac:dyDescent="0.3">
      <c r="A169">
        <v>121</v>
      </c>
      <c r="B169" t="s">
        <v>12</v>
      </c>
      <c r="C169">
        <v>1</v>
      </c>
      <c r="D169" t="s">
        <v>13</v>
      </c>
      <c r="E169">
        <v>2655</v>
      </c>
      <c r="F169" s="2">
        <f t="shared" si="2"/>
        <v>2655</v>
      </c>
      <c r="G169">
        <v>9.96479056062084E-4</v>
      </c>
      <c r="H169">
        <v>213</v>
      </c>
      <c r="I169" s="1">
        <v>1.9833534969699698E-5</v>
      </c>
      <c r="J169">
        <v>0.15963439842821101</v>
      </c>
      <c r="K169">
        <v>0.5</v>
      </c>
      <c r="L169">
        <v>42.36</v>
      </c>
      <c r="M169">
        <v>47.599999999999902</v>
      </c>
    </row>
    <row r="170" spans="1:13" x14ac:dyDescent="0.3">
      <c r="A170">
        <v>122</v>
      </c>
      <c r="B170" t="s">
        <v>12</v>
      </c>
      <c r="C170">
        <v>1</v>
      </c>
      <c r="D170" t="s">
        <v>15</v>
      </c>
      <c r="E170">
        <v>322</v>
      </c>
      <c r="F170" s="2">
        <f t="shared" si="2"/>
        <v>322</v>
      </c>
      <c r="G170">
        <v>2.2919025438830799E-4</v>
      </c>
      <c r="H170">
        <v>124</v>
      </c>
      <c r="I170" s="1">
        <v>3.4767813437478001E-5</v>
      </c>
      <c r="J170">
        <v>0.126431655108212</v>
      </c>
      <c r="K170">
        <v>0.5</v>
      </c>
      <c r="L170">
        <v>61.61</v>
      </c>
      <c r="M170">
        <v>52.72</v>
      </c>
    </row>
    <row r="171" spans="1:13" x14ac:dyDescent="0.3">
      <c r="A171">
        <v>123</v>
      </c>
      <c r="B171" t="s">
        <v>12</v>
      </c>
      <c r="C171">
        <v>4</v>
      </c>
      <c r="D171" t="s">
        <v>13</v>
      </c>
      <c r="E171">
        <v>286</v>
      </c>
      <c r="F171" s="2">
        <f t="shared" si="2"/>
        <v>782.03125</v>
      </c>
      <c r="G171">
        <v>7.0607735591862004E-4</v>
      </c>
      <c r="H171">
        <v>133</v>
      </c>
      <c r="I171" s="1">
        <v>3.45073838409361E-5</v>
      </c>
      <c r="J171">
        <v>0.107862237140818</v>
      </c>
      <c r="K171">
        <v>0.75</v>
      </c>
      <c r="L171">
        <v>62.57</v>
      </c>
      <c r="M171">
        <v>53.069999999999901</v>
      </c>
    </row>
    <row r="172" spans="1:13" x14ac:dyDescent="0.3">
      <c r="A172">
        <v>124</v>
      </c>
      <c r="B172" t="s">
        <v>12</v>
      </c>
      <c r="C172">
        <v>1</v>
      </c>
      <c r="D172" t="s">
        <v>15</v>
      </c>
      <c r="E172">
        <v>1576</v>
      </c>
      <c r="F172" s="2">
        <f t="shared" si="2"/>
        <v>1576</v>
      </c>
      <c r="G172">
        <v>2.2389813264137701E-4</v>
      </c>
      <c r="H172">
        <v>318</v>
      </c>
      <c r="I172" s="1">
        <v>3.2306068519541202E-5</v>
      </c>
      <c r="J172">
        <v>0.27197522223732901</v>
      </c>
      <c r="K172">
        <v>1</v>
      </c>
      <c r="L172">
        <v>70.349999999999994</v>
      </c>
      <c r="M172">
        <v>55.16</v>
      </c>
    </row>
    <row r="173" spans="1:13" x14ac:dyDescent="0.3">
      <c r="A173">
        <v>125</v>
      </c>
      <c r="B173" t="s">
        <v>12</v>
      </c>
      <c r="C173">
        <v>5</v>
      </c>
      <c r="D173" t="s">
        <v>16</v>
      </c>
      <c r="E173">
        <v>419</v>
      </c>
      <c r="F173" s="2">
        <f t="shared" si="2"/>
        <v>811.8125</v>
      </c>
      <c r="G173">
        <v>2.0517546917679701E-4</v>
      </c>
      <c r="H173">
        <v>88</v>
      </c>
      <c r="I173">
        <v>1.7665593291174401E-4</v>
      </c>
      <c r="J173">
        <v>0.133229637848852</v>
      </c>
      <c r="K173">
        <v>0.5</v>
      </c>
      <c r="L173">
        <v>118.01</v>
      </c>
      <c r="M173">
        <v>53.19</v>
      </c>
    </row>
    <row r="174" spans="1:13" x14ac:dyDescent="0.3">
      <c r="A174">
        <v>126</v>
      </c>
      <c r="B174" t="s">
        <v>12</v>
      </c>
      <c r="C174">
        <v>3</v>
      </c>
      <c r="D174" t="s">
        <v>17</v>
      </c>
      <c r="E174">
        <v>2088</v>
      </c>
      <c r="F174" s="2">
        <f t="shared" si="2"/>
        <v>4828.5</v>
      </c>
      <c r="G174">
        <v>2.3206456316787299E-4</v>
      </c>
      <c r="H174">
        <v>158</v>
      </c>
      <c r="I174">
        <v>5.5212375531505102E-4</v>
      </c>
      <c r="J174">
        <v>0.29445729504638901</v>
      </c>
      <c r="K174">
        <v>0.75</v>
      </c>
      <c r="L174">
        <v>157.56</v>
      </c>
      <c r="M174">
        <v>50.8</v>
      </c>
    </row>
    <row r="175" spans="1:13" x14ac:dyDescent="0.3">
      <c r="A175">
        <v>127</v>
      </c>
      <c r="B175" t="s">
        <v>12</v>
      </c>
      <c r="C175">
        <v>2</v>
      </c>
      <c r="D175" t="s">
        <v>17</v>
      </c>
      <c r="E175">
        <v>886</v>
      </c>
      <c r="F175" s="2">
        <f t="shared" si="2"/>
        <v>1772</v>
      </c>
      <c r="G175">
        <v>3.21136443414315E-4</v>
      </c>
      <c r="H175">
        <v>338</v>
      </c>
      <c r="I175" s="1">
        <v>6.8345494811036393E-5</v>
      </c>
      <c r="J175">
        <v>0.246530402673139</v>
      </c>
      <c r="K175">
        <v>1</v>
      </c>
      <c r="L175">
        <v>60.81</v>
      </c>
      <c r="M175">
        <v>53.41</v>
      </c>
    </row>
    <row r="176" spans="1:13" x14ac:dyDescent="0.3">
      <c r="A176">
        <v>128</v>
      </c>
      <c r="B176" t="s">
        <v>12</v>
      </c>
      <c r="C176">
        <v>3</v>
      </c>
      <c r="D176" t="s">
        <v>17</v>
      </c>
      <c r="E176">
        <v>702</v>
      </c>
      <c r="F176" s="2">
        <f t="shared" si="2"/>
        <v>1228.5</v>
      </c>
      <c r="G176">
        <v>2.87076875175188E-4</v>
      </c>
      <c r="H176">
        <v>360</v>
      </c>
      <c r="I176">
        <v>5.6247293928201301E-4</v>
      </c>
      <c r="J176">
        <v>0.109529126838649</v>
      </c>
      <c r="K176">
        <v>0.5</v>
      </c>
      <c r="L176">
        <v>66.36</v>
      </c>
      <c r="M176">
        <v>53.76</v>
      </c>
    </row>
    <row r="177" spans="1:13" x14ac:dyDescent="0.3">
      <c r="A177">
        <v>129</v>
      </c>
      <c r="B177" t="s">
        <v>12</v>
      </c>
      <c r="C177">
        <v>1</v>
      </c>
      <c r="D177" t="s">
        <v>16</v>
      </c>
      <c r="E177">
        <v>806</v>
      </c>
      <c r="F177" s="2">
        <f t="shared" si="2"/>
        <v>806</v>
      </c>
      <c r="G177">
        <v>6.2736965731582798E-4</v>
      </c>
      <c r="H177">
        <v>220</v>
      </c>
      <c r="I177" s="1">
        <v>7.7723699206785001E-5</v>
      </c>
      <c r="J177">
        <v>0.23926186621771001</v>
      </c>
      <c r="K177">
        <v>1</v>
      </c>
      <c r="L177">
        <v>67.5</v>
      </c>
      <c r="M177">
        <v>51.66</v>
      </c>
    </row>
    <row r="178" spans="1:13" x14ac:dyDescent="0.3">
      <c r="A178">
        <v>130</v>
      </c>
      <c r="B178" t="s">
        <v>12</v>
      </c>
      <c r="C178">
        <v>5</v>
      </c>
      <c r="D178" t="s">
        <v>15</v>
      </c>
      <c r="E178">
        <v>551</v>
      </c>
      <c r="F178" s="2">
        <f t="shared" si="2"/>
        <v>1067.5625</v>
      </c>
      <c r="G178">
        <v>1.3812189921676699E-4</v>
      </c>
      <c r="H178">
        <v>172</v>
      </c>
      <c r="I178" s="1">
        <v>1.1508330643776101E-5</v>
      </c>
      <c r="J178">
        <v>0.29214046409389999</v>
      </c>
      <c r="K178">
        <v>0.5</v>
      </c>
      <c r="L178">
        <v>86.99</v>
      </c>
      <c r="M178">
        <v>54.69</v>
      </c>
    </row>
    <row r="179" spans="1:13" x14ac:dyDescent="0.3">
      <c r="A179">
        <v>131</v>
      </c>
      <c r="B179" t="s">
        <v>12</v>
      </c>
      <c r="C179">
        <v>3</v>
      </c>
      <c r="D179" t="s">
        <v>15</v>
      </c>
      <c r="E179">
        <v>2015</v>
      </c>
      <c r="F179" s="2">
        <f t="shared" si="2"/>
        <v>6045</v>
      </c>
      <c r="G179">
        <v>8.9060602122315198E-4</v>
      </c>
      <c r="H179">
        <v>244</v>
      </c>
      <c r="I179">
        <v>1.3116386405788099E-4</v>
      </c>
      <c r="J179">
        <v>0.101436360295317</v>
      </c>
      <c r="K179">
        <v>1</v>
      </c>
      <c r="L179">
        <v>84.05</v>
      </c>
      <c r="M179">
        <v>51.97</v>
      </c>
    </row>
    <row r="180" spans="1:13" x14ac:dyDescent="0.3">
      <c r="A180">
        <v>132</v>
      </c>
      <c r="B180" t="s">
        <v>12</v>
      </c>
      <c r="C180">
        <v>2</v>
      </c>
      <c r="D180" t="s">
        <v>17</v>
      </c>
      <c r="E180">
        <v>3065</v>
      </c>
      <c r="F180" s="2">
        <f t="shared" si="2"/>
        <v>4597.5</v>
      </c>
      <c r="G180">
        <v>1.77351738026505E-4</v>
      </c>
      <c r="H180">
        <v>98</v>
      </c>
      <c r="I180" s="1">
        <v>4.1517788547707202E-5</v>
      </c>
      <c r="J180">
        <v>0.28060768557992899</v>
      </c>
      <c r="K180">
        <v>0.5</v>
      </c>
      <c r="L180">
        <v>205.23</v>
      </c>
      <c r="M180">
        <v>53.33</v>
      </c>
    </row>
    <row r="181" spans="1:13" x14ac:dyDescent="0.3">
      <c r="A181">
        <v>133</v>
      </c>
      <c r="B181" t="s">
        <v>12</v>
      </c>
      <c r="C181">
        <v>3</v>
      </c>
      <c r="D181" t="s">
        <v>15</v>
      </c>
      <c r="E181">
        <v>1997</v>
      </c>
      <c r="F181" s="2">
        <f t="shared" si="2"/>
        <v>3494.75</v>
      </c>
      <c r="G181">
        <v>7.0782956947793095E-4</v>
      </c>
      <c r="H181">
        <v>269</v>
      </c>
      <c r="I181" s="1">
        <v>3.6633873373125597E-5</v>
      </c>
      <c r="J181">
        <v>0.225312483653342</v>
      </c>
      <c r="K181">
        <v>0.5</v>
      </c>
      <c r="L181">
        <v>72.86</v>
      </c>
      <c r="M181">
        <v>53.71</v>
      </c>
    </row>
    <row r="182" spans="1:13" x14ac:dyDescent="0.3">
      <c r="A182">
        <v>134</v>
      </c>
      <c r="B182" t="s">
        <v>12</v>
      </c>
      <c r="C182">
        <v>5</v>
      </c>
      <c r="D182" t="s">
        <v>14</v>
      </c>
      <c r="E182">
        <v>1610</v>
      </c>
      <c r="F182" s="2">
        <f t="shared" si="2"/>
        <v>3119.375</v>
      </c>
      <c r="G182">
        <v>6.2130535839343499E-4</v>
      </c>
      <c r="H182">
        <v>173</v>
      </c>
      <c r="I182">
        <v>6.76302751410113E-4</v>
      </c>
      <c r="J182">
        <v>0.218004088670122</v>
      </c>
      <c r="K182">
        <v>0.5</v>
      </c>
      <c r="L182">
        <v>82.08</v>
      </c>
      <c r="M182">
        <v>42.089999999999897</v>
      </c>
    </row>
    <row r="183" spans="1:13" x14ac:dyDescent="0.3">
      <c r="A183">
        <v>135</v>
      </c>
      <c r="B183" t="s">
        <v>12</v>
      </c>
      <c r="C183">
        <v>5</v>
      </c>
      <c r="D183" t="s">
        <v>16</v>
      </c>
      <c r="E183">
        <v>1757</v>
      </c>
      <c r="F183" s="2">
        <f t="shared" si="2"/>
        <v>5360.22265625</v>
      </c>
      <c r="G183">
        <v>5.1375406010690096E-4</v>
      </c>
      <c r="H183">
        <v>208</v>
      </c>
      <c r="I183" s="1">
        <v>9.90212933316336E-5</v>
      </c>
      <c r="J183">
        <v>0.287416771379153</v>
      </c>
      <c r="K183">
        <v>0.75</v>
      </c>
      <c r="L183">
        <v>119.93</v>
      </c>
      <c r="M183">
        <v>49.49</v>
      </c>
    </row>
    <row r="184" spans="1:13" x14ac:dyDescent="0.3">
      <c r="A184">
        <v>136</v>
      </c>
      <c r="B184" t="s">
        <v>12</v>
      </c>
      <c r="C184">
        <v>6</v>
      </c>
      <c r="D184" t="s">
        <v>14</v>
      </c>
      <c r="E184">
        <v>1573</v>
      </c>
      <c r="F184" s="2">
        <f t="shared" si="2"/>
        <v>3096.84375</v>
      </c>
      <c r="G184">
        <v>2.0419822405289199E-4</v>
      </c>
      <c r="H184">
        <v>192</v>
      </c>
      <c r="I184">
        <v>9.11734006454151E-4</v>
      </c>
      <c r="J184">
        <v>0.12088836186077399</v>
      </c>
      <c r="K184">
        <v>0.5</v>
      </c>
      <c r="L184">
        <v>139.99</v>
      </c>
      <c r="M184">
        <v>51.6</v>
      </c>
    </row>
    <row r="185" spans="1:13" x14ac:dyDescent="0.3">
      <c r="A185">
        <v>137</v>
      </c>
      <c r="B185" t="s">
        <v>12</v>
      </c>
      <c r="C185">
        <v>1</v>
      </c>
      <c r="D185" t="s">
        <v>17</v>
      </c>
      <c r="E185">
        <v>1666</v>
      </c>
      <c r="F185" s="2">
        <f t="shared" si="2"/>
        <v>1666</v>
      </c>
      <c r="G185">
        <v>2.09340696156337E-4</v>
      </c>
      <c r="H185">
        <v>235</v>
      </c>
      <c r="I185" s="1">
        <v>7.5786621042379194E-5</v>
      </c>
      <c r="J185">
        <v>0.29499516512815599</v>
      </c>
      <c r="K185">
        <v>0.75</v>
      </c>
      <c r="L185">
        <v>137.33000000000001</v>
      </c>
      <c r="M185">
        <v>52.11</v>
      </c>
    </row>
    <row r="186" spans="1:13" x14ac:dyDescent="0.3">
      <c r="A186">
        <v>138</v>
      </c>
      <c r="B186" t="s">
        <v>12</v>
      </c>
      <c r="C186">
        <v>3</v>
      </c>
      <c r="D186" t="s">
        <v>13</v>
      </c>
      <c r="E186">
        <v>1737</v>
      </c>
      <c r="F186" s="2">
        <f t="shared" si="2"/>
        <v>3039.75</v>
      </c>
      <c r="G186">
        <v>1.0865130447639E-4</v>
      </c>
      <c r="H186">
        <v>201</v>
      </c>
      <c r="I186">
        <v>2.8753795319141201E-4</v>
      </c>
      <c r="J186">
        <v>0.29150538500869</v>
      </c>
      <c r="K186">
        <v>0.5</v>
      </c>
      <c r="L186">
        <v>137.55000000000001</v>
      </c>
      <c r="M186">
        <v>52.72</v>
      </c>
    </row>
    <row r="187" spans="1:13" x14ac:dyDescent="0.3">
      <c r="A187">
        <v>139</v>
      </c>
      <c r="B187" t="s">
        <v>12</v>
      </c>
      <c r="C187">
        <v>3</v>
      </c>
      <c r="D187" t="s">
        <v>17</v>
      </c>
      <c r="E187">
        <v>3214</v>
      </c>
      <c r="F187" s="2">
        <f t="shared" si="2"/>
        <v>7432.375</v>
      </c>
      <c r="G187">
        <v>1.7085730456576801E-4</v>
      </c>
      <c r="H187">
        <v>343</v>
      </c>
      <c r="I187" s="1">
        <v>1.08223938493163E-5</v>
      </c>
      <c r="J187">
        <v>0.267126334990266</v>
      </c>
      <c r="K187">
        <v>0.75</v>
      </c>
      <c r="L187">
        <v>190.68</v>
      </c>
      <c r="M187">
        <v>54.26</v>
      </c>
    </row>
    <row r="188" spans="1:13" x14ac:dyDescent="0.3">
      <c r="A188">
        <v>140</v>
      </c>
      <c r="B188" t="s">
        <v>12</v>
      </c>
      <c r="C188">
        <v>1</v>
      </c>
      <c r="D188" t="s">
        <v>13</v>
      </c>
      <c r="E188">
        <v>1021</v>
      </c>
      <c r="F188" s="2">
        <f t="shared" si="2"/>
        <v>1021</v>
      </c>
      <c r="G188">
        <v>4.3202410783508497E-4</v>
      </c>
      <c r="H188">
        <v>257</v>
      </c>
      <c r="I188" s="1">
        <v>1.08699495366989E-5</v>
      </c>
      <c r="J188">
        <v>0.16788328169623501</v>
      </c>
      <c r="K188">
        <v>0.5</v>
      </c>
      <c r="L188">
        <v>58.85</v>
      </c>
      <c r="M188">
        <v>53.5</v>
      </c>
    </row>
    <row r="189" spans="1:13" x14ac:dyDescent="0.3">
      <c r="A189">
        <v>141</v>
      </c>
      <c r="B189" t="s">
        <v>12</v>
      </c>
      <c r="C189">
        <v>1</v>
      </c>
      <c r="D189" t="s">
        <v>13</v>
      </c>
      <c r="E189">
        <v>570</v>
      </c>
      <c r="F189" s="2">
        <f t="shared" si="2"/>
        <v>570</v>
      </c>
      <c r="G189">
        <v>8.3605491527280701E-4</v>
      </c>
      <c r="H189">
        <v>136</v>
      </c>
      <c r="I189">
        <v>8.4992618166937798E-4</v>
      </c>
      <c r="J189">
        <v>0.20009803800329501</v>
      </c>
      <c r="K189">
        <v>1</v>
      </c>
      <c r="L189">
        <v>39.67</v>
      </c>
      <c r="M189">
        <v>45.9</v>
      </c>
    </row>
    <row r="190" spans="1:13" x14ac:dyDescent="0.3">
      <c r="A190">
        <v>142</v>
      </c>
      <c r="B190" t="s">
        <v>12</v>
      </c>
      <c r="C190">
        <v>2</v>
      </c>
      <c r="D190" t="s">
        <v>16</v>
      </c>
      <c r="E190">
        <v>2526</v>
      </c>
      <c r="F190" s="2">
        <f t="shared" si="2"/>
        <v>5052</v>
      </c>
      <c r="G190">
        <v>4.5391931237663601E-4</v>
      </c>
      <c r="H190">
        <v>146</v>
      </c>
      <c r="I190">
        <v>5.6781016915529001E-4</v>
      </c>
      <c r="J190">
        <v>0.104429288875507</v>
      </c>
      <c r="K190">
        <v>1</v>
      </c>
      <c r="L190">
        <v>168.37</v>
      </c>
      <c r="M190">
        <v>53.23</v>
      </c>
    </row>
    <row r="191" spans="1:13" x14ac:dyDescent="0.3">
      <c r="A191">
        <v>143</v>
      </c>
      <c r="B191" t="s">
        <v>12</v>
      </c>
      <c r="C191">
        <v>6</v>
      </c>
      <c r="D191" t="s">
        <v>16</v>
      </c>
      <c r="E191">
        <v>696</v>
      </c>
      <c r="F191" s="2">
        <f t="shared" si="2"/>
        <v>2288.5078125</v>
      </c>
      <c r="G191">
        <v>5.0518695146800803E-4</v>
      </c>
      <c r="H191">
        <v>290</v>
      </c>
      <c r="I191" s="1">
        <v>2.1207233722502E-5</v>
      </c>
      <c r="J191">
        <v>0.125472942280797</v>
      </c>
      <c r="K191">
        <v>0.75</v>
      </c>
      <c r="L191">
        <v>59.61</v>
      </c>
      <c r="M191">
        <v>53.08</v>
      </c>
    </row>
    <row r="192" spans="1:13" x14ac:dyDescent="0.3">
      <c r="A192">
        <v>144</v>
      </c>
      <c r="B192" t="s">
        <v>12</v>
      </c>
      <c r="C192">
        <v>4</v>
      </c>
      <c r="D192" t="s">
        <v>14</v>
      </c>
      <c r="E192">
        <v>755</v>
      </c>
      <c r="F192" s="2">
        <f t="shared" si="2"/>
        <v>1415.625</v>
      </c>
      <c r="G192">
        <v>1.6615480654656701E-4</v>
      </c>
      <c r="H192">
        <v>230</v>
      </c>
      <c r="I192" s="1">
        <v>6.3562389648863304E-5</v>
      </c>
      <c r="J192">
        <v>0.12633879310065099</v>
      </c>
      <c r="K192">
        <v>0.5</v>
      </c>
      <c r="L192">
        <v>68.290000000000006</v>
      </c>
      <c r="M192">
        <v>54.41</v>
      </c>
    </row>
    <row r="193" spans="1:13" x14ac:dyDescent="0.3">
      <c r="A193">
        <v>145</v>
      </c>
      <c r="B193" t="s">
        <v>12</v>
      </c>
      <c r="C193">
        <v>3</v>
      </c>
      <c r="D193" t="s">
        <v>13</v>
      </c>
      <c r="E193">
        <v>2351</v>
      </c>
      <c r="F193" s="2">
        <f t="shared" si="2"/>
        <v>4114.25</v>
      </c>
      <c r="G193">
        <v>6.8376192757694295E-4</v>
      </c>
      <c r="H193">
        <v>458</v>
      </c>
      <c r="I193">
        <v>1.7065492400535301E-4</v>
      </c>
      <c r="J193">
        <v>0.26691374458171602</v>
      </c>
      <c r="K193">
        <v>0.5</v>
      </c>
      <c r="L193">
        <v>107.04</v>
      </c>
      <c r="M193">
        <v>53.239999999999903</v>
      </c>
    </row>
    <row r="194" spans="1:13" x14ac:dyDescent="0.3">
      <c r="A194">
        <v>146</v>
      </c>
      <c r="B194" t="s">
        <v>12</v>
      </c>
      <c r="C194">
        <v>5</v>
      </c>
      <c r="D194" t="s">
        <v>15</v>
      </c>
      <c r="E194">
        <v>515</v>
      </c>
      <c r="F194" s="2">
        <f t="shared" si="2"/>
        <v>1571.15234375</v>
      </c>
      <c r="G194">
        <v>1.8417477333349601E-4</v>
      </c>
      <c r="H194">
        <v>64</v>
      </c>
      <c r="I194">
        <v>2.6794559179429598E-4</v>
      </c>
      <c r="J194">
        <v>0.14107251809562499</v>
      </c>
      <c r="K194">
        <v>0.75</v>
      </c>
      <c r="L194">
        <v>94.16</v>
      </c>
      <c r="M194">
        <v>54.98</v>
      </c>
    </row>
    <row r="195" spans="1:13" x14ac:dyDescent="0.3">
      <c r="A195">
        <v>147</v>
      </c>
      <c r="B195" t="s">
        <v>12</v>
      </c>
      <c r="C195">
        <v>6</v>
      </c>
      <c r="D195" t="s">
        <v>13</v>
      </c>
      <c r="E195">
        <v>1934</v>
      </c>
      <c r="F195" s="2">
        <f t="shared" ref="F195:F248" si="3">SERIESSUM(K195, 0, 1, _xlfn.SEQUENCE(C195, 1, 1, 0))*E195</f>
        <v>3807.5625</v>
      </c>
      <c r="G195">
        <v>3.2192401921423401E-4</v>
      </c>
      <c r="H195">
        <v>236</v>
      </c>
      <c r="I195">
        <v>2.7679625163927799E-4</v>
      </c>
      <c r="J195">
        <v>0.149439747231291</v>
      </c>
      <c r="K195">
        <v>0.5</v>
      </c>
      <c r="L195">
        <v>159.84</v>
      </c>
      <c r="M195">
        <v>54.6</v>
      </c>
    </row>
    <row r="196" spans="1:13" x14ac:dyDescent="0.3">
      <c r="A196">
        <v>148</v>
      </c>
      <c r="B196" t="s">
        <v>12</v>
      </c>
      <c r="C196">
        <v>4</v>
      </c>
      <c r="D196" t="s">
        <v>15</v>
      </c>
      <c r="E196">
        <v>1194</v>
      </c>
      <c r="F196" s="2">
        <f t="shared" si="3"/>
        <v>3264.84375</v>
      </c>
      <c r="G196">
        <v>3.1564952696984698E-4</v>
      </c>
      <c r="H196">
        <v>113</v>
      </c>
      <c r="I196">
        <v>2.4575244903733999E-4</v>
      </c>
      <c r="J196">
        <v>0.15239998732392099</v>
      </c>
      <c r="K196">
        <v>0.75</v>
      </c>
      <c r="L196">
        <v>80.44</v>
      </c>
      <c r="M196">
        <v>54.22</v>
      </c>
    </row>
    <row r="197" spans="1:13" x14ac:dyDescent="0.3">
      <c r="A197">
        <v>149</v>
      </c>
      <c r="B197" t="s">
        <v>12</v>
      </c>
      <c r="C197">
        <v>3</v>
      </c>
      <c r="D197" t="s">
        <v>14</v>
      </c>
      <c r="E197">
        <v>2992</v>
      </c>
      <c r="F197" s="2">
        <f t="shared" si="3"/>
        <v>6919</v>
      </c>
      <c r="G197">
        <v>6.0260245390764101E-4</v>
      </c>
      <c r="H197">
        <v>64</v>
      </c>
      <c r="I197">
        <v>4.7655161245023698E-4</v>
      </c>
      <c r="J197">
        <v>0.12008577232315799</v>
      </c>
      <c r="K197">
        <v>0.75</v>
      </c>
      <c r="L197">
        <v>162.88</v>
      </c>
      <c r="M197">
        <v>33.39</v>
      </c>
    </row>
    <row r="198" spans="1:13" x14ac:dyDescent="0.3">
      <c r="A198">
        <v>150</v>
      </c>
      <c r="B198" t="s">
        <v>12</v>
      </c>
      <c r="C198">
        <v>1</v>
      </c>
      <c r="D198" t="s">
        <v>13</v>
      </c>
      <c r="E198">
        <v>387</v>
      </c>
      <c r="F198" s="2">
        <f t="shared" si="3"/>
        <v>387</v>
      </c>
      <c r="G198">
        <v>1.4175124965489701E-4</v>
      </c>
      <c r="H198">
        <v>374</v>
      </c>
      <c r="I198" s="1">
        <v>2.1793028786361301E-5</v>
      </c>
      <c r="J198">
        <v>0.13626548528591101</v>
      </c>
      <c r="K198">
        <v>0.75</v>
      </c>
      <c r="L198">
        <v>74.16</v>
      </c>
      <c r="M198">
        <v>52.019999999999897</v>
      </c>
    </row>
    <row r="199" spans="1:13" x14ac:dyDescent="0.3">
      <c r="A199">
        <v>151</v>
      </c>
      <c r="B199" t="s">
        <v>12</v>
      </c>
      <c r="C199">
        <v>2</v>
      </c>
      <c r="D199" t="s">
        <v>17</v>
      </c>
      <c r="E199">
        <v>1304</v>
      </c>
      <c r="F199" s="2">
        <f t="shared" si="3"/>
        <v>2608</v>
      </c>
      <c r="G199">
        <v>1.63276494391302E-4</v>
      </c>
      <c r="H199">
        <v>205</v>
      </c>
      <c r="I199">
        <v>2.9654277329746199E-4</v>
      </c>
      <c r="J199">
        <v>0.19896370217755099</v>
      </c>
      <c r="K199">
        <v>1</v>
      </c>
      <c r="L199">
        <v>145.85</v>
      </c>
      <c r="M199">
        <v>53.89</v>
      </c>
    </row>
    <row r="200" spans="1:13" x14ac:dyDescent="0.3">
      <c r="A200">
        <v>152</v>
      </c>
      <c r="B200" t="s">
        <v>12</v>
      </c>
      <c r="C200">
        <v>1</v>
      </c>
      <c r="D200" t="s">
        <v>17</v>
      </c>
      <c r="E200">
        <v>982</v>
      </c>
      <c r="F200" s="2">
        <f t="shared" si="3"/>
        <v>982</v>
      </c>
      <c r="G200">
        <v>6.9640445622892397E-4</v>
      </c>
      <c r="H200">
        <v>78</v>
      </c>
      <c r="I200">
        <v>6.0317632052409704E-4</v>
      </c>
      <c r="J200">
        <v>0.26979116793271302</v>
      </c>
      <c r="K200">
        <v>0.5</v>
      </c>
      <c r="L200">
        <v>55.92</v>
      </c>
      <c r="M200">
        <v>44.68</v>
      </c>
    </row>
    <row r="201" spans="1:13" x14ac:dyDescent="0.3">
      <c r="A201">
        <v>153</v>
      </c>
      <c r="B201" t="s">
        <v>12</v>
      </c>
      <c r="C201">
        <v>6</v>
      </c>
      <c r="D201" t="s">
        <v>16</v>
      </c>
      <c r="E201">
        <v>3048</v>
      </c>
      <c r="F201" s="2">
        <f t="shared" si="3"/>
        <v>10022.0859375</v>
      </c>
      <c r="G201">
        <v>1.93110313399008E-4</v>
      </c>
      <c r="H201">
        <v>124</v>
      </c>
      <c r="I201">
        <v>5.3888678056075896E-4</v>
      </c>
      <c r="J201">
        <v>0.29564320225068502</v>
      </c>
      <c r="K201">
        <v>0.75</v>
      </c>
      <c r="L201">
        <v>287.22000000000003</v>
      </c>
      <c r="M201">
        <v>51.71</v>
      </c>
    </row>
    <row r="202" spans="1:13" x14ac:dyDescent="0.3">
      <c r="A202">
        <v>154</v>
      </c>
      <c r="B202" t="s">
        <v>12</v>
      </c>
      <c r="C202">
        <v>4</v>
      </c>
      <c r="D202" t="s">
        <v>16</v>
      </c>
      <c r="E202">
        <v>303</v>
      </c>
      <c r="F202" s="2">
        <f t="shared" si="3"/>
        <v>828.515625</v>
      </c>
      <c r="G202">
        <v>1.5191647111343999E-4</v>
      </c>
      <c r="H202">
        <v>193</v>
      </c>
      <c r="I202" s="1">
        <v>4.8471574031414101E-5</v>
      </c>
      <c r="J202">
        <v>0.18588234949686</v>
      </c>
      <c r="K202">
        <v>0.75</v>
      </c>
      <c r="L202">
        <v>77.81</v>
      </c>
      <c r="M202">
        <v>52.949999999999903</v>
      </c>
    </row>
    <row r="203" spans="1:13" x14ac:dyDescent="0.3">
      <c r="A203">
        <v>155</v>
      </c>
      <c r="B203" t="s">
        <v>12</v>
      </c>
      <c r="C203">
        <v>3</v>
      </c>
      <c r="D203" t="s">
        <v>16</v>
      </c>
      <c r="E203">
        <v>749</v>
      </c>
      <c r="F203" s="2">
        <f t="shared" si="3"/>
        <v>2247</v>
      </c>
      <c r="G203">
        <v>2.7589798288046998E-4</v>
      </c>
      <c r="H203">
        <v>237</v>
      </c>
      <c r="I203" s="1">
        <v>1.41201868784808E-5</v>
      </c>
      <c r="J203">
        <v>0.198557443600166</v>
      </c>
      <c r="K203">
        <v>1</v>
      </c>
      <c r="L203">
        <v>72.599999999999994</v>
      </c>
      <c r="M203">
        <v>54.8</v>
      </c>
    </row>
    <row r="204" spans="1:13" x14ac:dyDescent="0.3">
      <c r="A204">
        <v>156</v>
      </c>
      <c r="B204" t="s">
        <v>12</v>
      </c>
      <c r="C204">
        <v>2</v>
      </c>
      <c r="D204" t="s">
        <v>17</v>
      </c>
      <c r="E204">
        <v>1532</v>
      </c>
      <c r="F204" s="2">
        <f t="shared" si="3"/>
        <v>3064</v>
      </c>
      <c r="G204">
        <v>9.1725411754197295E-4</v>
      </c>
      <c r="H204">
        <v>88</v>
      </c>
      <c r="I204">
        <v>5.4938762693832496E-4</v>
      </c>
      <c r="J204">
        <v>0.21829460273822099</v>
      </c>
      <c r="K204">
        <v>1</v>
      </c>
      <c r="L204">
        <v>89.52</v>
      </c>
      <c r="M204">
        <v>43.1</v>
      </c>
    </row>
    <row r="205" spans="1:13" x14ac:dyDescent="0.3">
      <c r="A205">
        <v>157</v>
      </c>
      <c r="B205" t="s">
        <v>12</v>
      </c>
      <c r="C205">
        <v>4</v>
      </c>
      <c r="D205" t="s">
        <v>14</v>
      </c>
      <c r="E205">
        <v>1157</v>
      </c>
      <c r="F205" s="2">
        <f t="shared" si="3"/>
        <v>3163.671875</v>
      </c>
      <c r="G205">
        <v>1.57584968840259E-4</v>
      </c>
      <c r="H205">
        <v>399</v>
      </c>
      <c r="I205">
        <v>1.1707074069663E-4</v>
      </c>
      <c r="J205">
        <v>0.14387448374453099</v>
      </c>
      <c r="K205">
        <v>0.75</v>
      </c>
      <c r="L205">
        <v>87.38</v>
      </c>
      <c r="M205">
        <v>54.42</v>
      </c>
    </row>
    <row r="206" spans="1:13" x14ac:dyDescent="0.3">
      <c r="A206">
        <v>158</v>
      </c>
      <c r="B206" t="s">
        <v>12</v>
      </c>
      <c r="C206">
        <v>5</v>
      </c>
      <c r="D206" t="s">
        <v>16</v>
      </c>
      <c r="E206">
        <v>1562</v>
      </c>
      <c r="F206" s="2">
        <f t="shared" si="3"/>
        <v>3026.375</v>
      </c>
      <c r="G206">
        <v>3.5266516307017699E-4</v>
      </c>
      <c r="H206">
        <v>307</v>
      </c>
      <c r="I206">
        <v>5.5543994934981005E-4</v>
      </c>
      <c r="J206">
        <v>0.15356075400796601</v>
      </c>
      <c r="K206">
        <v>0.5</v>
      </c>
      <c r="L206">
        <v>88.95</v>
      </c>
      <c r="M206">
        <v>54.1</v>
      </c>
    </row>
    <row r="207" spans="1:13" x14ac:dyDescent="0.3">
      <c r="A207">
        <v>159</v>
      </c>
      <c r="B207" t="s">
        <v>12</v>
      </c>
      <c r="C207">
        <v>2</v>
      </c>
      <c r="D207" t="s">
        <v>15</v>
      </c>
      <c r="E207">
        <v>693</v>
      </c>
      <c r="F207" s="2">
        <f t="shared" si="3"/>
        <v>1212.75</v>
      </c>
      <c r="G207">
        <v>8.8164418685710802E-4</v>
      </c>
      <c r="H207">
        <v>367</v>
      </c>
      <c r="I207" s="1">
        <v>3.4934083970869301E-5</v>
      </c>
      <c r="J207">
        <v>0.216208994543721</v>
      </c>
      <c r="K207">
        <v>0.75</v>
      </c>
      <c r="L207">
        <v>54.02</v>
      </c>
      <c r="M207">
        <v>52.449999999999903</v>
      </c>
    </row>
    <row r="208" spans="1:13" x14ac:dyDescent="0.3">
      <c r="A208">
        <v>160</v>
      </c>
      <c r="B208" t="s">
        <v>12</v>
      </c>
      <c r="C208">
        <v>6</v>
      </c>
      <c r="D208" t="s">
        <v>16</v>
      </c>
      <c r="E208">
        <v>367</v>
      </c>
      <c r="F208" s="2">
        <f t="shared" si="3"/>
        <v>1206.7275390625</v>
      </c>
      <c r="G208">
        <v>1.3549428325022601E-4</v>
      </c>
      <c r="H208">
        <v>107</v>
      </c>
      <c r="I208" s="1">
        <v>3.480585342417E-5</v>
      </c>
      <c r="J208">
        <v>0.18309337288432201</v>
      </c>
      <c r="K208">
        <v>0.75</v>
      </c>
      <c r="L208">
        <v>110.52</v>
      </c>
      <c r="M208">
        <v>52.3</v>
      </c>
    </row>
    <row r="209" spans="1:13" x14ac:dyDescent="0.3">
      <c r="A209">
        <v>161</v>
      </c>
      <c r="B209" t="s">
        <v>12</v>
      </c>
      <c r="C209">
        <v>1</v>
      </c>
      <c r="D209" t="s">
        <v>16</v>
      </c>
      <c r="E209">
        <v>3308</v>
      </c>
      <c r="F209" s="2">
        <f t="shared" si="3"/>
        <v>3308</v>
      </c>
      <c r="G209">
        <v>3.1743364673542302E-4</v>
      </c>
      <c r="H209">
        <v>71</v>
      </c>
      <c r="I209" s="1">
        <v>4.0314834478145202E-5</v>
      </c>
      <c r="J209">
        <v>0.196603954690244</v>
      </c>
      <c r="K209">
        <v>0.5</v>
      </c>
      <c r="L209">
        <v>157.30000000000001</v>
      </c>
      <c r="M209">
        <v>52.19</v>
      </c>
    </row>
    <row r="210" spans="1:13" x14ac:dyDescent="0.3">
      <c r="A210">
        <v>162</v>
      </c>
      <c r="B210" t="s">
        <v>12</v>
      </c>
      <c r="C210">
        <v>1</v>
      </c>
      <c r="D210" t="s">
        <v>15</v>
      </c>
      <c r="E210">
        <v>1182</v>
      </c>
      <c r="F210" s="2">
        <f t="shared" si="3"/>
        <v>1182</v>
      </c>
      <c r="G210">
        <v>1.5601051045636201E-4</v>
      </c>
      <c r="H210">
        <v>145</v>
      </c>
      <c r="I210">
        <v>1.93962040036456E-4</v>
      </c>
      <c r="J210">
        <v>0.22688171944621999</v>
      </c>
      <c r="K210">
        <v>1</v>
      </c>
      <c r="L210">
        <v>84.78</v>
      </c>
      <c r="M210">
        <v>55.059999999999903</v>
      </c>
    </row>
    <row r="211" spans="1:13" x14ac:dyDescent="0.3">
      <c r="A211">
        <v>163</v>
      </c>
      <c r="B211" t="s">
        <v>12</v>
      </c>
      <c r="C211">
        <v>5</v>
      </c>
      <c r="D211" t="s">
        <v>14</v>
      </c>
      <c r="E211">
        <v>521</v>
      </c>
      <c r="F211" s="2">
        <f t="shared" si="3"/>
        <v>1009.4375</v>
      </c>
      <c r="G211">
        <v>4.3046603377859999E-4</v>
      </c>
      <c r="H211">
        <v>174</v>
      </c>
      <c r="I211">
        <v>1.7196729887200001E-4</v>
      </c>
      <c r="J211">
        <v>0.15421433694346001</v>
      </c>
      <c r="K211">
        <v>0.5</v>
      </c>
      <c r="L211">
        <v>55.09</v>
      </c>
      <c r="M211">
        <v>48.87</v>
      </c>
    </row>
    <row r="212" spans="1:13" x14ac:dyDescent="0.3">
      <c r="A212">
        <v>164</v>
      </c>
      <c r="B212" t="s">
        <v>12</v>
      </c>
      <c r="C212">
        <v>1</v>
      </c>
      <c r="D212" t="s">
        <v>17</v>
      </c>
      <c r="E212">
        <v>311</v>
      </c>
      <c r="F212" s="2">
        <f t="shared" si="3"/>
        <v>311</v>
      </c>
      <c r="G212">
        <v>6.79097359347676E-4</v>
      </c>
      <c r="H212">
        <v>199</v>
      </c>
      <c r="I212">
        <v>7.1659213387281198E-4</v>
      </c>
      <c r="J212">
        <v>0.18136993489079001</v>
      </c>
      <c r="K212">
        <v>0.5</v>
      </c>
      <c r="L212">
        <v>21.07</v>
      </c>
      <c r="M212">
        <v>31</v>
      </c>
    </row>
    <row r="213" spans="1:13" x14ac:dyDescent="0.3">
      <c r="A213">
        <v>165</v>
      </c>
      <c r="B213" t="s">
        <v>12</v>
      </c>
      <c r="C213">
        <v>3</v>
      </c>
      <c r="D213" t="s">
        <v>14</v>
      </c>
      <c r="E213">
        <v>3046</v>
      </c>
      <c r="F213" s="2">
        <f t="shared" si="3"/>
        <v>5330.5</v>
      </c>
      <c r="G213">
        <v>1.32823948238025E-4</v>
      </c>
      <c r="H213">
        <v>338</v>
      </c>
      <c r="I213" s="1">
        <v>2.04441027718263E-5</v>
      </c>
      <c r="J213">
        <v>0.25535155652721198</v>
      </c>
      <c r="K213">
        <v>0.5</v>
      </c>
      <c r="L213">
        <v>197.57</v>
      </c>
      <c r="M213">
        <v>55.24</v>
      </c>
    </row>
    <row r="214" spans="1:13" x14ac:dyDescent="0.3">
      <c r="A214">
        <v>166</v>
      </c>
      <c r="B214" t="s">
        <v>12</v>
      </c>
      <c r="C214">
        <v>4</v>
      </c>
      <c r="D214" t="s">
        <v>16</v>
      </c>
      <c r="E214">
        <v>918</v>
      </c>
      <c r="F214" s="2">
        <f t="shared" si="3"/>
        <v>2510.15625</v>
      </c>
      <c r="G214">
        <v>2.9103130193133798E-4</v>
      </c>
      <c r="H214">
        <v>211</v>
      </c>
      <c r="I214">
        <v>1.6301998770062201E-4</v>
      </c>
      <c r="J214">
        <v>0.27604247091311301</v>
      </c>
      <c r="K214">
        <v>0.75</v>
      </c>
      <c r="L214">
        <v>107.29</v>
      </c>
      <c r="M214">
        <v>54.02</v>
      </c>
    </row>
    <row r="215" spans="1:13" x14ac:dyDescent="0.3">
      <c r="A215">
        <v>167</v>
      </c>
      <c r="B215" t="s">
        <v>12</v>
      </c>
      <c r="C215">
        <v>4</v>
      </c>
      <c r="D215" t="s">
        <v>17</v>
      </c>
      <c r="E215">
        <v>1427</v>
      </c>
      <c r="F215" s="2">
        <f t="shared" si="3"/>
        <v>5708</v>
      </c>
      <c r="G215">
        <v>2.8167126267599602E-4</v>
      </c>
      <c r="H215">
        <v>122</v>
      </c>
      <c r="I215" s="1">
        <v>1.04876711030013E-5</v>
      </c>
      <c r="J215">
        <v>0.116729769129407</v>
      </c>
      <c r="K215">
        <v>1</v>
      </c>
      <c r="L215">
        <v>102.47</v>
      </c>
      <c r="M215">
        <v>51.87</v>
      </c>
    </row>
    <row r="216" spans="1:13" x14ac:dyDescent="0.3">
      <c r="A216">
        <v>168</v>
      </c>
      <c r="B216" t="s">
        <v>12</v>
      </c>
      <c r="C216">
        <v>5</v>
      </c>
      <c r="D216" t="s">
        <v>17</v>
      </c>
      <c r="E216">
        <v>487</v>
      </c>
      <c r="F216" s="2">
        <f t="shared" si="3"/>
        <v>943.5625</v>
      </c>
      <c r="G216">
        <v>1.47955940606674E-4</v>
      </c>
      <c r="H216">
        <v>364</v>
      </c>
      <c r="I216" s="1">
        <v>1.2520615943344599E-5</v>
      </c>
      <c r="J216">
        <v>0.20153771789179201</v>
      </c>
      <c r="K216">
        <v>0.5</v>
      </c>
      <c r="L216">
        <v>89.92</v>
      </c>
      <c r="M216">
        <v>53.459999999999901</v>
      </c>
    </row>
    <row r="217" spans="1:13" x14ac:dyDescent="0.3">
      <c r="A217">
        <v>169</v>
      </c>
      <c r="B217" t="s">
        <v>12</v>
      </c>
      <c r="C217">
        <v>2</v>
      </c>
      <c r="D217" t="s">
        <v>13</v>
      </c>
      <c r="E217">
        <v>2264</v>
      </c>
      <c r="F217" s="2">
        <f t="shared" si="3"/>
        <v>3962</v>
      </c>
      <c r="G217">
        <v>4.0188987619599201E-4</v>
      </c>
      <c r="H217">
        <v>148</v>
      </c>
      <c r="I217">
        <v>7.9616735842025395E-4</v>
      </c>
      <c r="J217">
        <v>0.28540974786555501</v>
      </c>
      <c r="K217">
        <v>0.75</v>
      </c>
      <c r="L217">
        <v>145.52000000000001</v>
      </c>
      <c r="M217">
        <v>45.68</v>
      </c>
    </row>
    <row r="218" spans="1:13" x14ac:dyDescent="0.3">
      <c r="A218">
        <v>170</v>
      </c>
      <c r="B218" t="s">
        <v>12</v>
      </c>
      <c r="C218">
        <v>2</v>
      </c>
      <c r="D218" t="s">
        <v>13</v>
      </c>
      <c r="E218">
        <v>3063</v>
      </c>
      <c r="F218" s="2">
        <f t="shared" si="3"/>
        <v>4594.5</v>
      </c>
      <c r="G218">
        <v>7.6428373407156096E-4</v>
      </c>
      <c r="H218">
        <v>148</v>
      </c>
      <c r="I218" s="1">
        <v>3.36903411886457E-5</v>
      </c>
      <c r="J218">
        <v>0.23026829285093001</v>
      </c>
      <c r="K218">
        <v>0.5</v>
      </c>
      <c r="L218">
        <v>81.93</v>
      </c>
      <c r="M218">
        <v>46.25</v>
      </c>
    </row>
    <row r="219" spans="1:13" x14ac:dyDescent="0.3">
      <c r="A219">
        <v>171</v>
      </c>
      <c r="B219" t="s">
        <v>12</v>
      </c>
      <c r="C219">
        <v>4</v>
      </c>
      <c r="D219" t="s">
        <v>13</v>
      </c>
      <c r="E219">
        <v>3133</v>
      </c>
      <c r="F219" s="2">
        <f t="shared" si="3"/>
        <v>12532</v>
      </c>
      <c r="G219">
        <v>2.6180647092775199E-4</v>
      </c>
      <c r="H219">
        <v>119</v>
      </c>
      <c r="I219">
        <v>1.9859733664934001E-4</v>
      </c>
      <c r="J219">
        <v>0.168644666988047</v>
      </c>
      <c r="K219">
        <v>1</v>
      </c>
      <c r="L219">
        <v>361.03</v>
      </c>
      <c r="M219">
        <v>51.259999999999899</v>
      </c>
    </row>
    <row r="220" spans="1:13" x14ac:dyDescent="0.3">
      <c r="A220">
        <v>172</v>
      </c>
      <c r="B220" t="s">
        <v>12</v>
      </c>
      <c r="C220">
        <v>5</v>
      </c>
      <c r="D220" t="s">
        <v>13</v>
      </c>
      <c r="E220">
        <v>695</v>
      </c>
      <c r="F220" s="2">
        <f t="shared" si="3"/>
        <v>3475</v>
      </c>
      <c r="G220">
        <v>5.5357510188907102E-4</v>
      </c>
      <c r="H220">
        <v>389</v>
      </c>
      <c r="I220" s="1">
        <v>1.2324627416540499E-5</v>
      </c>
      <c r="J220">
        <v>0.243019011143355</v>
      </c>
      <c r="K220">
        <v>1</v>
      </c>
      <c r="L220">
        <v>64.52</v>
      </c>
      <c r="M220">
        <v>54.13</v>
      </c>
    </row>
    <row r="221" spans="1:13" x14ac:dyDescent="0.3">
      <c r="A221">
        <v>173</v>
      </c>
      <c r="B221" t="s">
        <v>12</v>
      </c>
      <c r="C221">
        <v>4</v>
      </c>
      <c r="D221" t="s">
        <v>17</v>
      </c>
      <c r="E221">
        <v>2277</v>
      </c>
      <c r="F221" s="2">
        <f t="shared" si="3"/>
        <v>6226.171875</v>
      </c>
      <c r="G221">
        <v>1.4470574697013301E-4</v>
      </c>
      <c r="H221">
        <v>116</v>
      </c>
      <c r="I221" s="1">
        <v>8.1977302766863993E-5</v>
      </c>
      <c r="J221">
        <v>0.287034157352418</v>
      </c>
      <c r="K221">
        <v>0.75</v>
      </c>
      <c r="L221">
        <v>267.41000000000003</v>
      </c>
      <c r="M221">
        <v>54.669999999999902</v>
      </c>
    </row>
    <row r="222" spans="1:13" x14ac:dyDescent="0.3">
      <c r="A222">
        <v>174</v>
      </c>
      <c r="B222" t="s">
        <v>12</v>
      </c>
      <c r="C222">
        <v>3</v>
      </c>
      <c r="D222" t="s">
        <v>14</v>
      </c>
      <c r="E222">
        <v>1271</v>
      </c>
      <c r="F222" s="2">
        <f t="shared" si="3"/>
        <v>2939.1875</v>
      </c>
      <c r="G222">
        <v>3.8817584988265198E-4</v>
      </c>
      <c r="H222">
        <v>398</v>
      </c>
      <c r="I222">
        <v>7.1678238213776502E-4</v>
      </c>
      <c r="J222">
        <v>0.11110730496402001</v>
      </c>
      <c r="K222">
        <v>0.75</v>
      </c>
      <c r="L222">
        <v>62.93</v>
      </c>
      <c r="M222">
        <v>51.87</v>
      </c>
    </row>
    <row r="223" spans="1:13" x14ac:dyDescent="0.3">
      <c r="A223">
        <v>175</v>
      </c>
      <c r="B223" t="s">
        <v>12</v>
      </c>
      <c r="C223">
        <v>4</v>
      </c>
      <c r="D223" t="s">
        <v>14</v>
      </c>
      <c r="E223">
        <v>920</v>
      </c>
      <c r="F223" s="2">
        <f t="shared" si="3"/>
        <v>2515.625</v>
      </c>
      <c r="G223">
        <v>3.8285052898578601E-4</v>
      </c>
      <c r="H223">
        <v>434</v>
      </c>
      <c r="I223">
        <v>6.2098831731422898E-4</v>
      </c>
      <c r="J223">
        <v>0.281352144339999</v>
      </c>
      <c r="K223">
        <v>0.75</v>
      </c>
      <c r="L223">
        <v>75.069999999999993</v>
      </c>
      <c r="M223">
        <v>49.45</v>
      </c>
    </row>
    <row r="224" spans="1:13" x14ac:dyDescent="0.3">
      <c r="A224">
        <v>176</v>
      </c>
      <c r="B224" t="s">
        <v>12</v>
      </c>
      <c r="C224">
        <v>6</v>
      </c>
      <c r="D224" t="s">
        <v>17</v>
      </c>
      <c r="E224">
        <v>409</v>
      </c>
      <c r="F224" s="2">
        <f t="shared" si="3"/>
        <v>2454</v>
      </c>
      <c r="G224">
        <v>1.02380005867499E-4</v>
      </c>
      <c r="H224">
        <v>367</v>
      </c>
      <c r="I224">
        <v>1.4892793416895601E-4</v>
      </c>
      <c r="J224">
        <v>0.11396170613062701</v>
      </c>
      <c r="K224">
        <v>1</v>
      </c>
      <c r="L224">
        <v>74.48</v>
      </c>
      <c r="M224">
        <v>54.6</v>
      </c>
    </row>
    <row r="225" spans="1:13" x14ac:dyDescent="0.3">
      <c r="A225">
        <v>177</v>
      </c>
      <c r="B225" t="s">
        <v>12</v>
      </c>
      <c r="C225">
        <v>1</v>
      </c>
      <c r="D225" t="s">
        <v>17</v>
      </c>
      <c r="E225">
        <v>371</v>
      </c>
      <c r="F225" s="2">
        <f t="shared" si="3"/>
        <v>371</v>
      </c>
      <c r="G225">
        <v>3.3537393881805197E-4</v>
      </c>
      <c r="H225">
        <v>446</v>
      </c>
      <c r="I225" s="1">
        <v>1.6685830671613499E-5</v>
      </c>
      <c r="J225">
        <v>0.154393706166775</v>
      </c>
      <c r="K225">
        <v>0.75</v>
      </c>
      <c r="L225">
        <v>57.19</v>
      </c>
      <c r="M225">
        <v>50.61</v>
      </c>
    </row>
    <row r="226" spans="1:13" x14ac:dyDescent="0.3">
      <c r="A226">
        <v>178</v>
      </c>
      <c r="B226" t="s">
        <v>12</v>
      </c>
      <c r="C226">
        <v>4</v>
      </c>
      <c r="D226" t="s">
        <v>13</v>
      </c>
      <c r="E226">
        <v>904</v>
      </c>
      <c r="F226" s="2">
        <f t="shared" si="3"/>
        <v>1695</v>
      </c>
      <c r="G226">
        <v>1.6013432102316401E-4</v>
      </c>
      <c r="H226">
        <v>471</v>
      </c>
      <c r="I226">
        <v>2.9942167545993898E-4</v>
      </c>
      <c r="J226">
        <v>0.13833906274733199</v>
      </c>
      <c r="K226">
        <v>0.5</v>
      </c>
      <c r="L226">
        <v>102.2</v>
      </c>
      <c r="M226">
        <v>55.6</v>
      </c>
    </row>
    <row r="227" spans="1:13" x14ac:dyDescent="0.3">
      <c r="A227">
        <v>179</v>
      </c>
      <c r="B227" t="s">
        <v>12</v>
      </c>
      <c r="C227">
        <v>4</v>
      </c>
      <c r="D227" t="s">
        <v>14</v>
      </c>
      <c r="E227">
        <v>604</v>
      </c>
      <c r="F227" s="2">
        <f t="shared" si="3"/>
        <v>1132.5</v>
      </c>
      <c r="G227">
        <v>1.2868744059344901E-4</v>
      </c>
      <c r="H227">
        <v>89</v>
      </c>
      <c r="I227" s="1">
        <v>6.3501646276242606E-5</v>
      </c>
      <c r="J227">
        <v>0.115629305726973</v>
      </c>
      <c r="K227">
        <v>0.5</v>
      </c>
      <c r="L227">
        <v>94.03</v>
      </c>
      <c r="M227">
        <v>53.58</v>
      </c>
    </row>
    <row r="228" spans="1:13" x14ac:dyDescent="0.3">
      <c r="A228">
        <v>180</v>
      </c>
      <c r="B228" t="s">
        <v>12</v>
      </c>
      <c r="C228">
        <v>1</v>
      </c>
      <c r="D228" t="s">
        <v>16</v>
      </c>
      <c r="E228">
        <v>783</v>
      </c>
      <c r="F228" s="2">
        <f t="shared" si="3"/>
        <v>783</v>
      </c>
      <c r="G228">
        <v>1.83789212048088E-4</v>
      </c>
      <c r="H228">
        <v>242</v>
      </c>
      <c r="I228" s="1">
        <v>3.2455841321760299E-5</v>
      </c>
      <c r="J228">
        <v>0.28925729553095703</v>
      </c>
      <c r="K228">
        <v>0.75</v>
      </c>
      <c r="L228">
        <v>78.28</v>
      </c>
      <c r="M228">
        <v>54.09</v>
      </c>
    </row>
    <row r="229" spans="1:13" x14ac:dyDescent="0.3">
      <c r="A229">
        <v>181</v>
      </c>
      <c r="B229" t="s">
        <v>12</v>
      </c>
      <c r="C229">
        <v>6</v>
      </c>
      <c r="D229" t="s">
        <v>15</v>
      </c>
      <c r="E229">
        <v>295</v>
      </c>
      <c r="F229" s="2">
        <f t="shared" si="3"/>
        <v>969.9853515625</v>
      </c>
      <c r="G229">
        <v>3.4667858424419101E-4</v>
      </c>
      <c r="H229">
        <v>492</v>
      </c>
      <c r="I229">
        <v>5.3809293392422896E-4</v>
      </c>
      <c r="J229">
        <v>0.212630428624655</v>
      </c>
      <c r="K229">
        <v>0.75</v>
      </c>
      <c r="L229">
        <v>57.55</v>
      </c>
      <c r="M229">
        <v>52.81</v>
      </c>
    </row>
    <row r="230" spans="1:13" x14ac:dyDescent="0.3">
      <c r="A230">
        <v>182</v>
      </c>
      <c r="B230" t="s">
        <v>12</v>
      </c>
      <c r="C230">
        <v>6</v>
      </c>
      <c r="D230" t="s">
        <v>13</v>
      </c>
      <c r="E230">
        <v>2166</v>
      </c>
      <c r="F230" s="2">
        <f t="shared" si="3"/>
        <v>7121.994140625</v>
      </c>
      <c r="G230">
        <v>8.5562406276981303E-4</v>
      </c>
      <c r="H230">
        <v>461</v>
      </c>
      <c r="I230">
        <v>8.1867357913242898E-4</v>
      </c>
      <c r="J230">
        <v>0.26996641683306899</v>
      </c>
      <c r="K230">
        <v>0.75</v>
      </c>
      <c r="L230">
        <v>115.02</v>
      </c>
      <c r="M230">
        <v>44.84</v>
      </c>
    </row>
    <row r="231" spans="1:13" x14ac:dyDescent="0.3">
      <c r="A231">
        <v>183</v>
      </c>
      <c r="B231" t="s">
        <v>12</v>
      </c>
      <c r="C231">
        <v>5</v>
      </c>
      <c r="D231" t="s">
        <v>17</v>
      </c>
      <c r="E231">
        <v>561</v>
      </c>
      <c r="F231" s="2">
        <f t="shared" si="3"/>
        <v>1711.48828125</v>
      </c>
      <c r="G231">
        <v>1.99575701538887E-4</v>
      </c>
      <c r="H231">
        <v>102</v>
      </c>
      <c r="I231">
        <v>3.47440840660829E-4</v>
      </c>
      <c r="J231">
        <v>0.25735468874328399</v>
      </c>
      <c r="K231">
        <v>0.75</v>
      </c>
      <c r="L231">
        <v>119.07</v>
      </c>
      <c r="M231">
        <v>51.44</v>
      </c>
    </row>
    <row r="232" spans="1:13" x14ac:dyDescent="0.3">
      <c r="A232">
        <v>184</v>
      </c>
      <c r="B232" t="s">
        <v>12</v>
      </c>
      <c r="C232">
        <v>3</v>
      </c>
      <c r="D232" t="s">
        <v>14</v>
      </c>
      <c r="E232">
        <v>330</v>
      </c>
      <c r="F232" s="2">
        <f t="shared" si="3"/>
        <v>990</v>
      </c>
      <c r="G232">
        <v>1.31590767249924E-4</v>
      </c>
      <c r="H232">
        <v>212</v>
      </c>
      <c r="I232">
        <v>3.28621887383732E-4</v>
      </c>
      <c r="J232">
        <v>0.24001850358840299</v>
      </c>
      <c r="K232">
        <v>1</v>
      </c>
      <c r="L232">
        <v>92.97</v>
      </c>
      <c r="M232">
        <v>52.55</v>
      </c>
    </row>
    <row r="233" spans="1:13" x14ac:dyDescent="0.3">
      <c r="A233">
        <v>185</v>
      </c>
      <c r="B233" t="s">
        <v>12</v>
      </c>
      <c r="C233">
        <v>4</v>
      </c>
      <c r="D233" t="s">
        <v>17</v>
      </c>
      <c r="E233">
        <v>842</v>
      </c>
      <c r="F233" s="2">
        <f t="shared" si="3"/>
        <v>2302.34375</v>
      </c>
      <c r="G233">
        <v>1.5706865361330999E-4</v>
      </c>
      <c r="H233">
        <v>214</v>
      </c>
      <c r="I233">
        <v>6.8853492651532397E-4</v>
      </c>
      <c r="J233">
        <v>0.21397375286499701</v>
      </c>
      <c r="K233">
        <v>0.75</v>
      </c>
      <c r="L233">
        <v>138.16999999999999</v>
      </c>
      <c r="M233">
        <v>53.01</v>
      </c>
    </row>
    <row r="234" spans="1:13" x14ac:dyDescent="0.3">
      <c r="A234">
        <v>186</v>
      </c>
      <c r="B234" t="s">
        <v>12</v>
      </c>
      <c r="C234">
        <v>5</v>
      </c>
      <c r="D234" t="s">
        <v>15</v>
      </c>
      <c r="E234">
        <v>837</v>
      </c>
      <c r="F234" s="2">
        <f t="shared" si="3"/>
        <v>2553.50390625</v>
      </c>
      <c r="G234">
        <v>6.6463498054458996E-4</v>
      </c>
      <c r="H234">
        <v>65</v>
      </c>
      <c r="I234" s="1">
        <v>3.6565947063163298E-5</v>
      </c>
      <c r="J234">
        <v>0.20597332578854699</v>
      </c>
      <c r="K234">
        <v>0.75</v>
      </c>
      <c r="L234">
        <v>134.94999999999999</v>
      </c>
      <c r="M234">
        <v>50.61</v>
      </c>
    </row>
    <row r="235" spans="1:13" x14ac:dyDescent="0.3">
      <c r="A235">
        <v>187</v>
      </c>
      <c r="B235" t="s">
        <v>12</v>
      </c>
      <c r="C235">
        <v>4</v>
      </c>
      <c r="D235" t="s">
        <v>17</v>
      </c>
      <c r="E235">
        <v>939</v>
      </c>
      <c r="F235" s="2">
        <f t="shared" si="3"/>
        <v>2567.578125</v>
      </c>
      <c r="G235">
        <v>1.14224814319274E-4</v>
      </c>
      <c r="H235">
        <v>90</v>
      </c>
      <c r="I235">
        <v>1.45040300570838E-4</v>
      </c>
      <c r="J235">
        <v>0.286576250848815</v>
      </c>
      <c r="K235">
        <v>0.75</v>
      </c>
      <c r="L235">
        <v>196.07</v>
      </c>
      <c r="M235">
        <v>54.92</v>
      </c>
    </row>
    <row r="236" spans="1:13" x14ac:dyDescent="0.3">
      <c r="A236">
        <v>188</v>
      </c>
      <c r="B236" t="s">
        <v>12</v>
      </c>
      <c r="C236">
        <v>1</v>
      </c>
      <c r="D236" t="s">
        <v>17</v>
      </c>
      <c r="E236">
        <v>694</v>
      </c>
      <c r="F236" s="2">
        <f t="shared" si="3"/>
        <v>694</v>
      </c>
      <c r="G236">
        <v>4.2453991954683601E-4</v>
      </c>
      <c r="H236">
        <v>362</v>
      </c>
      <c r="I236">
        <v>1.34653855268453E-4</v>
      </c>
      <c r="J236">
        <v>0.142637111026683</v>
      </c>
      <c r="K236">
        <v>0.75</v>
      </c>
      <c r="L236">
        <v>45.16</v>
      </c>
      <c r="M236">
        <v>50.77</v>
      </c>
    </row>
    <row r="237" spans="1:13" x14ac:dyDescent="0.3">
      <c r="A237">
        <v>189</v>
      </c>
      <c r="B237" t="s">
        <v>12</v>
      </c>
      <c r="C237">
        <v>2</v>
      </c>
      <c r="D237" t="s">
        <v>14</v>
      </c>
      <c r="E237">
        <v>2508</v>
      </c>
      <c r="F237" s="2">
        <f t="shared" si="3"/>
        <v>3762</v>
      </c>
      <c r="G237">
        <v>7.9538143179989299E-4</v>
      </c>
      <c r="H237">
        <v>469</v>
      </c>
      <c r="I237">
        <v>2.40692186304044E-4</v>
      </c>
      <c r="J237">
        <v>0.27451647733680101</v>
      </c>
      <c r="K237">
        <v>0.5</v>
      </c>
      <c r="L237">
        <v>114.38</v>
      </c>
      <c r="M237">
        <v>47.06</v>
      </c>
    </row>
    <row r="238" spans="1:13" x14ac:dyDescent="0.3">
      <c r="A238">
        <v>190</v>
      </c>
      <c r="B238" t="s">
        <v>12</v>
      </c>
      <c r="C238">
        <v>2</v>
      </c>
      <c r="D238" t="s">
        <v>15</v>
      </c>
      <c r="E238">
        <v>327</v>
      </c>
      <c r="F238" s="2">
        <f t="shared" si="3"/>
        <v>572.25</v>
      </c>
      <c r="G238">
        <v>1.19966126716968E-4</v>
      </c>
      <c r="H238">
        <v>303</v>
      </c>
      <c r="I238">
        <v>1.2305170872493499E-4</v>
      </c>
      <c r="J238">
        <v>0.20734786737205699</v>
      </c>
      <c r="K238">
        <v>0.75</v>
      </c>
      <c r="L238">
        <v>66.48</v>
      </c>
      <c r="M238">
        <v>54.14</v>
      </c>
    </row>
    <row r="239" spans="1:13" x14ac:dyDescent="0.3">
      <c r="A239">
        <v>191</v>
      </c>
      <c r="B239" t="s">
        <v>12</v>
      </c>
      <c r="C239">
        <v>2</v>
      </c>
      <c r="D239" t="s">
        <v>13</v>
      </c>
      <c r="E239">
        <v>433</v>
      </c>
      <c r="F239" s="2">
        <f t="shared" si="3"/>
        <v>757.75</v>
      </c>
      <c r="G239">
        <v>4.5935489345453099E-4</v>
      </c>
      <c r="H239">
        <v>325</v>
      </c>
      <c r="I239" s="1">
        <v>9.5767148221822396E-5</v>
      </c>
      <c r="J239">
        <v>0.14984903104751299</v>
      </c>
      <c r="K239">
        <v>0.75</v>
      </c>
      <c r="L239">
        <v>54.34</v>
      </c>
      <c r="M239">
        <v>54.059999999999903</v>
      </c>
    </row>
    <row r="240" spans="1:13" x14ac:dyDescent="0.3">
      <c r="A240">
        <v>192</v>
      </c>
      <c r="B240" t="s">
        <v>12</v>
      </c>
      <c r="C240">
        <v>4</v>
      </c>
      <c r="D240" t="s">
        <v>15</v>
      </c>
      <c r="E240">
        <v>312</v>
      </c>
      <c r="F240" s="2">
        <f t="shared" si="3"/>
        <v>585</v>
      </c>
      <c r="G240">
        <v>3.6160710619390101E-4</v>
      </c>
      <c r="H240">
        <v>97</v>
      </c>
      <c r="I240" s="1">
        <v>1.5406978295244301E-5</v>
      </c>
      <c r="J240">
        <v>0.172134212769984</v>
      </c>
      <c r="K240">
        <v>0.5</v>
      </c>
      <c r="L240">
        <v>83.74</v>
      </c>
      <c r="M240">
        <v>51.28</v>
      </c>
    </row>
    <row r="241" spans="1:13" x14ac:dyDescent="0.3">
      <c r="A241">
        <v>193</v>
      </c>
      <c r="B241" t="s">
        <v>12</v>
      </c>
      <c r="C241">
        <v>2</v>
      </c>
      <c r="D241" t="s">
        <v>16</v>
      </c>
      <c r="E241">
        <v>651</v>
      </c>
      <c r="F241" s="2">
        <f t="shared" si="3"/>
        <v>1139.25</v>
      </c>
      <c r="G241">
        <v>1.02620988043276E-4</v>
      </c>
      <c r="H241">
        <v>116</v>
      </c>
      <c r="I241" s="1">
        <v>4.46661310686903E-5</v>
      </c>
      <c r="J241">
        <v>0.10502785957402599</v>
      </c>
      <c r="K241">
        <v>0.75</v>
      </c>
      <c r="L241">
        <v>73.38</v>
      </c>
      <c r="M241">
        <v>54.4</v>
      </c>
    </row>
    <row r="242" spans="1:13" x14ac:dyDescent="0.3">
      <c r="A242">
        <v>194</v>
      </c>
      <c r="B242" t="s">
        <v>12</v>
      </c>
      <c r="C242">
        <v>3</v>
      </c>
      <c r="D242" t="s">
        <v>17</v>
      </c>
      <c r="E242">
        <v>411</v>
      </c>
      <c r="F242" s="2">
        <f t="shared" si="3"/>
        <v>950.4375</v>
      </c>
      <c r="G242">
        <v>5.7470396853422198E-4</v>
      </c>
      <c r="H242">
        <v>103</v>
      </c>
      <c r="I242" s="1">
        <v>2.8507007487510002E-5</v>
      </c>
      <c r="J242">
        <v>0.14423276822214801</v>
      </c>
      <c r="K242">
        <v>0.75</v>
      </c>
      <c r="L242">
        <v>71.27</v>
      </c>
      <c r="M242">
        <v>53.41</v>
      </c>
    </row>
    <row r="243" spans="1:13" x14ac:dyDescent="0.3">
      <c r="A243">
        <v>195</v>
      </c>
      <c r="B243" t="s">
        <v>12</v>
      </c>
      <c r="C243">
        <v>6</v>
      </c>
      <c r="D243" t="s">
        <v>16</v>
      </c>
      <c r="E243">
        <v>2758</v>
      </c>
      <c r="F243" s="2">
        <f t="shared" si="3"/>
        <v>9068.541015625</v>
      </c>
      <c r="G243">
        <v>2.5882951335558598E-4</v>
      </c>
      <c r="H243">
        <v>157</v>
      </c>
      <c r="I243" s="1">
        <v>3.7708488908261497E-5</v>
      </c>
      <c r="J243">
        <v>0.2572139632889</v>
      </c>
      <c r="K243">
        <v>0.75</v>
      </c>
      <c r="L243">
        <v>288.02</v>
      </c>
      <c r="M243">
        <v>53.58</v>
      </c>
    </row>
    <row r="244" spans="1:13" x14ac:dyDescent="0.3">
      <c r="A244">
        <v>196</v>
      </c>
      <c r="B244" t="s">
        <v>12</v>
      </c>
      <c r="C244">
        <v>5</v>
      </c>
      <c r="D244" t="s">
        <v>15</v>
      </c>
      <c r="E244">
        <v>382</v>
      </c>
      <c r="F244" s="2">
        <f t="shared" si="3"/>
        <v>1165.3984375</v>
      </c>
      <c r="G244">
        <v>1.6772329868856601E-4</v>
      </c>
      <c r="H244">
        <v>293</v>
      </c>
      <c r="I244" s="1">
        <v>5.4003384477208301E-5</v>
      </c>
      <c r="J244">
        <v>0.178617998247459</v>
      </c>
      <c r="K244">
        <v>0.75</v>
      </c>
      <c r="L244">
        <v>59.57</v>
      </c>
      <c r="M244">
        <v>55</v>
      </c>
    </row>
    <row r="245" spans="1:13" x14ac:dyDescent="0.3">
      <c r="A245">
        <v>197</v>
      </c>
      <c r="B245" t="s">
        <v>12</v>
      </c>
      <c r="C245">
        <v>4</v>
      </c>
      <c r="D245" t="s">
        <v>15</v>
      </c>
      <c r="E245">
        <v>620</v>
      </c>
      <c r="F245" s="2">
        <f t="shared" si="3"/>
        <v>1162.5</v>
      </c>
      <c r="G245">
        <v>7.8788068806866002E-4</v>
      </c>
      <c r="H245">
        <v>75</v>
      </c>
      <c r="I245" s="1">
        <v>4.2121611845215997E-5</v>
      </c>
      <c r="J245">
        <v>0.27558741232324202</v>
      </c>
      <c r="K245">
        <v>0.5</v>
      </c>
      <c r="L245">
        <v>89.36</v>
      </c>
      <c r="M245">
        <v>46.01</v>
      </c>
    </row>
    <row r="246" spans="1:13" x14ac:dyDescent="0.3">
      <c r="A246">
        <v>198</v>
      </c>
      <c r="B246" t="s">
        <v>12</v>
      </c>
      <c r="C246">
        <v>5</v>
      </c>
      <c r="D246" t="s">
        <v>14</v>
      </c>
      <c r="E246">
        <v>3000</v>
      </c>
      <c r="F246" s="2">
        <f t="shared" si="3"/>
        <v>9152.34375</v>
      </c>
      <c r="G246">
        <v>8.67800401782017E-4</v>
      </c>
      <c r="H246">
        <v>226</v>
      </c>
      <c r="I246" s="1">
        <v>1.13291328975928E-5</v>
      </c>
      <c r="J246">
        <v>0.24274451674172501</v>
      </c>
      <c r="K246">
        <v>0.75</v>
      </c>
      <c r="L246">
        <v>202.18</v>
      </c>
      <c r="M246">
        <v>16.52</v>
      </c>
    </row>
    <row r="247" spans="1:13" x14ac:dyDescent="0.3">
      <c r="A247">
        <v>199</v>
      </c>
      <c r="B247" t="s">
        <v>12</v>
      </c>
      <c r="C247">
        <v>4</v>
      </c>
      <c r="D247" t="s">
        <v>15</v>
      </c>
      <c r="E247">
        <v>1807</v>
      </c>
      <c r="F247" s="2">
        <f t="shared" si="3"/>
        <v>7228</v>
      </c>
      <c r="G247">
        <v>1.19272500291709E-4</v>
      </c>
      <c r="H247">
        <v>166</v>
      </c>
      <c r="I247">
        <v>5.5419386235803397E-4</v>
      </c>
      <c r="J247">
        <v>0.14784414167311899</v>
      </c>
      <c r="K247">
        <v>1</v>
      </c>
      <c r="L247">
        <v>233.9</v>
      </c>
      <c r="M247">
        <v>54.7</v>
      </c>
    </row>
    <row r="248" spans="1:13" x14ac:dyDescent="0.3">
      <c r="A248">
        <v>200</v>
      </c>
      <c r="B248" t="s">
        <v>12</v>
      </c>
      <c r="C248">
        <v>4</v>
      </c>
      <c r="D248" t="s">
        <v>14</v>
      </c>
      <c r="E248">
        <v>1680</v>
      </c>
      <c r="F248" s="2">
        <f t="shared" si="3"/>
        <v>4593.75</v>
      </c>
      <c r="G248">
        <v>1.3425822901385999E-4</v>
      </c>
      <c r="H248">
        <v>355</v>
      </c>
      <c r="I248" s="1">
        <v>1.60649871810943E-5</v>
      </c>
      <c r="J248">
        <v>0.108194296393799</v>
      </c>
      <c r="K248">
        <v>0.75</v>
      </c>
      <c r="L248">
        <v>88.5</v>
      </c>
      <c r="M248">
        <v>54.24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results_complex_200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Garncarz Martin (246815)</cp:lastModifiedBy>
  <dcterms:created xsi:type="dcterms:W3CDTF">2026-03-21T09:03:56Z</dcterms:created>
  <dcterms:modified xsi:type="dcterms:W3CDTF">2026-03-21T09:15:09Z</dcterms:modified>
</cp:coreProperties>
</file>